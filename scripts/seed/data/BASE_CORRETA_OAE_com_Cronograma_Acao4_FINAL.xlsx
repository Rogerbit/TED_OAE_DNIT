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e957389bc3df5/Documentos/ChatGPT/Projeto TED-OAE-DNIT/ted-oae-bi-web/"/>
    </mc:Choice>
  </mc:AlternateContent>
  <xr:revisionPtr revIDLastSave="11" documentId="13_ncr:20001_{FB8DF511-A5D0-4149-A2E8-B1E3CE35253B}" xr6:coauthVersionLast="47" xr6:coauthVersionMax="47" xr10:uidLastSave="{983E80CC-CCF0-48C9-AF3E-D028E0B2AAD1}"/>
  <bookViews>
    <workbookView xWindow="-98" yWindow="-98" windowWidth="21795" windowHeight="12975" firstSheet="2" activeTab="5" xr2:uid="{D10BC2D4-9FB0-488B-BFA5-CB520AC4DD7C}"/>
  </bookViews>
  <sheets>
    <sheet name="Tabela DNIT Janeiro_2026" sheetId="2" r:id="rId1"/>
    <sheet name="Orçamento-Ação1" sheetId="3" r:id="rId2"/>
    <sheet name="Orçamento-Ação2" sheetId="4" r:id="rId3"/>
    <sheet name="Orçamento Ação 3" sheetId="8" r:id="rId4"/>
    <sheet name="Consolidado" sheetId="6" r:id="rId5"/>
    <sheet name="Cronograma" sheetId="7" r:id="rId6"/>
  </sheets>
  <externalReferences>
    <externalReference r:id="rId7"/>
    <externalReference r:id="rId8"/>
    <externalReference r:id="rId9"/>
    <externalReference r:id="rId10"/>
  </externalReferences>
  <definedNames>
    <definedName name="\i" localSheetId="5">#REF!</definedName>
    <definedName name="\i" localSheetId="1">#REF!</definedName>
    <definedName name="\i" localSheetId="2">#REF!</definedName>
    <definedName name="\i">#REF!</definedName>
    <definedName name="a" localSheetId="5">#REF!</definedName>
    <definedName name="a" localSheetId="1">#REF!</definedName>
    <definedName name="a" localSheetId="2">#REF!</definedName>
    <definedName name="a">#REF!</definedName>
    <definedName name="ADF" localSheetId="5">#REF!</definedName>
    <definedName name="ADF" localSheetId="1">#REF!</definedName>
    <definedName name="ADF" localSheetId="2">#REF!</definedName>
    <definedName name="ADF">#REF!</definedName>
    <definedName name="_xlnm.Extract" localSheetId="5">#REF!</definedName>
    <definedName name="_xlnm.Extract" localSheetId="1">#REF!</definedName>
    <definedName name="_xlnm.Extract" localSheetId="2">#REF!</definedName>
    <definedName name="_xlnm.Extract">#REF!</definedName>
    <definedName name="_xlnm.Print_Area" localSheetId="1">'Orçamento-Ação1'!$A$1:$J$77</definedName>
    <definedName name="_xlnm.Print_Area" localSheetId="2">'Orçamento-Ação2'!$A$1:$J$67</definedName>
    <definedName name="DF" localSheetId="5">#REF!</definedName>
    <definedName name="DF" localSheetId="1">#REF!</definedName>
    <definedName name="DF" localSheetId="2">#REF!</definedName>
    <definedName name="DF">#REF!</definedName>
    <definedName name="ISSQN" localSheetId="5">#REF!</definedName>
    <definedName name="ISSQN" localSheetId="1">#REF!</definedName>
    <definedName name="ISSQN" localSheetId="2">#REF!</definedName>
    <definedName name="ISSQN">#REF!</definedName>
    <definedName name="k" localSheetId="5">'[1]Tab. Consultoria Jan-11'!#REF!</definedName>
    <definedName name="k" localSheetId="1">'[1]Tab. Consultoria Jan-11'!#REF!</definedName>
    <definedName name="k" localSheetId="2">'[1]Tab. Consultoria Jan-11'!#REF!</definedName>
    <definedName name="k">'[1]Tab. Consultoria Jan-11'!#REF!</definedName>
    <definedName name="MO" localSheetId="5">#REF!</definedName>
    <definedName name="MO" localSheetId="1">#REF!</definedName>
    <definedName name="MO" localSheetId="2">#REF!</definedName>
    <definedName name="MO">#REF!</definedName>
    <definedName name="MOB" localSheetId="5">#REF!</definedName>
    <definedName name="MOB" localSheetId="1">#REF!</definedName>
    <definedName name="MOB" localSheetId="2">#REF!</definedName>
    <definedName name="MOB">#REF!</definedName>
    <definedName name="MOD" localSheetId="5">#REF!</definedName>
    <definedName name="MOD" localSheetId="1">#REF!</definedName>
    <definedName name="MOD" localSheetId="2">#REF!</definedName>
    <definedName name="MOD">#REF!</definedName>
    <definedName name="p" localSheetId="5">#REF!</definedName>
    <definedName name="p" localSheetId="1">#REF!</definedName>
    <definedName name="p" localSheetId="2">#REF!</definedName>
    <definedName name="p">#REF!</definedName>
    <definedName name="ref" localSheetId="5">'[1]Tab. Consultoria Jan-11'!#REF!</definedName>
    <definedName name="ref" localSheetId="1">'[1]Tab. Consultoria Jan-11'!#REF!</definedName>
    <definedName name="ref" localSheetId="2">'[1]Tab. Consultoria Jan-11'!#REF!</definedName>
    <definedName name="ref">'[1]Tab. Consultoria Jan-11'!#REF!</definedName>
    <definedName name="SICRO_AV">[2]SICRO_AV!$A$6:$N$22</definedName>
    <definedName name="SICRO_BAR">[2]SICRO!$A$6:$N$22</definedName>
    <definedName name="SICRO_R">[2]SICRO_R!$A$6:$N$22</definedName>
    <definedName name="vd" localSheetId="5">#REF!</definedName>
    <definedName name="vd" localSheetId="1">#REF!</definedName>
    <definedName name="vd" localSheetId="2">#REF!</definedName>
    <definedName name="v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6" l="1"/>
  <c r="D6" i="6"/>
  <c r="D5" i="6"/>
  <c r="D4" i="6"/>
  <c r="D3" i="6"/>
  <c r="C7" i="6"/>
  <c r="C6" i="6"/>
  <c r="C5" i="6"/>
  <c r="C4" i="6"/>
  <c r="C3" i="6"/>
  <c r="A3" i="6"/>
  <c r="A4" i="6" s="1"/>
  <c r="A5" i="6" s="1"/>
  <c r="A6" i="6" s="1"/>
  <c r="A7" i="6" s="1"/>
  <c r="A8" i="6" s="1"/>
  <c r="A9" i="6" s="1"/>
  <c r="F3" i="8"/>
  <c r="J3" i="8" s="1"/>
  <c r="F4" i="8"/>
  <c r="J4" i="8" s="1"/>
  <c r="F5" i="8"/>
  <c r="J5" i="8" s="1"/>
  <c r="F6" i="8"/>
  <c r="J6" i="8" s="1"/>
  <c r="F7" i="8"/>
  <c r="J7" i="8" s="1"/>
  <c r="F8" i="8"/>
  <c r="J8" i="8" s="1"/>
  <c r="F9" i="8"/>
  <c r="J9" i="8" s="1"/>
  <c r="F10" i="8"/>
  <c r="J10" i="8" s="1"/>
  <c r="F11" i="8"/>
  <c r="J11" i="8" s="1"/>
  <c r="F12" i="8"/>
  <c r="J12" i="8" s="1"/>
  <c r="F13" i="8"/>
  <c r="J13" i="8" s="1"/>
  <c r="F14" i="8"/>
  <c r="J14" i="8" s="1"/>
  <c r="F15" i="8"/>
  <c r="J15" i="8" s="1"/>
  <c r="F16" i="8"/>
  <c r="J16" i="8" s="1"/>
  <c r="F17" i="8"/>
  <c r="J17" i="8" s="1"/>
  <c r="F18" i="8"/>
  <c r="J18" i="8" s="1"/>
  <c r="J22" i="8"/>
  <c r="J25" i="8" s="1"/>
  <c r="L10" i="8" s="1"/>
  <c r="J23" i="8"/>
  <c r="J24" i="8"/>
  <c r="J28" i="8"/>
  <c r="J30" i="8" s="1"/>
  <c r="L11" i="8" s="1"/>
  <c r="J29" i="8"/>
  <c r="J33" i="8"/>
  <c r="J35" i="8" s="1"/>
  <c r="J34" i="8"/>
  <c r="J38" i="8"/>
  <c r="J39" i="8" s="1"/>
  <c r="L13" i="8" s="1"/>
  <c r="J42" i="8"/>
  <c r="J43" i="8"/>
  <c r="J44" i="8"/>
  <c r="J45" i="8"/>
  <c r="J46" i="8"/>
  <c r="J47" i="8"/>
  <c r="J48" i="8"/>
  <c r="J49" i="8"/>
  <c r="J50" i="8"/>
  <c r="J51" i="8"/>
  <c r="J52" i="8"/>
  <c r="J53" i="8"/>
  <c r="L12" i="8" l="1"/>
  <c r="E5" i="6"/>
  <c r="F5" i="6" s="1"/>
  <c r="E6" i="6"/>
  <c r="F6" i="6" s="1"/>
  <c r="J54" i="8"/>
  <c r="E3" i="6"/>
  <c r="F3" i="6" s="1"/>
  <c r="E4" i="6"/>
  <c r="F4" i="6" s="1"/>
  <c r="J19" i="8"/>
  <c r="E2" i="6" s="1"/>
  <c r="D22" i="6"/>
  <c r="A14" i="6"/>
  <c r="A15" i="6" s="1"/>
  <c r="A16" i="6" s="1"/>
  <c r="A17" i="6" s="1"/>
  <c r="A18" i="6" s="1"/>
  <c r="A19" i="6" s="1"/>
  <c r="A20" i="6" s="1"/>
  <c r="A21" i="6" s="1"/>
  <c r="J50" i="4"/>
  <c r="J49" i="4"/>
  <c r="J48" i="4"/>
  <c r="J47" i="4"/>
  <c r="J46" i="4"/>
  <c r="J45" i="4"/>
  <c r="J44" i="4"/>
  <c r="J43" i="4"/>
  <c r="J42" i="4"/>
  <c r="J41" i="4"/>
  <c r="J51" i="4" s="1"/>
  <c r="J40" i="4"/>
  <c r="J39" i="4"/>
  <c r="J35" i="4"/>
  <c r="J36" i="4" s="1"/>
  <c r="J31" i="4"/>
  <c r="J30" i="4"/>
  <c r="J32" i="4" s="1"/>
  <c r="J26" i="4"/>
  <c r="J25" i="4"/>
  <c r="J27" i="4" s="1"/>
  <c r="J21" i="4"/>
  <c r="J20" i="4"/>
  <c r="J19" i="4"/>
  <c r="J18" i="4"/>
  <c r="J22" i="4" s="1"/>
  <c r="N15" i="4"/>
  <c r="D14" i="4"/>
  <c r="F14" i="4" s="1"/>
  <c r="J14" i="4" s="1"/>
  <c r="M13" i="4"/>
  <c r="L13" i="4"/>
  <c r="D13" i="4"/>
  <c r="F13" i="4" s="1"/>
  <c r="J13" i="4" s="1"/>
  <c r="M12" i="4"/>
  <c r="L12" i="4"/>
  <c r="D12" i="4"/>
  <c r="F12" i="4" s="1"/>
  <c r="J12" i="4" s="1"/>
  <c r="M11" i="4"/>
  <c r="L11" i="4"/>
  <c r="D11" i="4"/>
  <c r="F11" i="4" s="1"/>
  <c r="J11" i="4" s="1"/>
  <c r="M10" i="4"/>
  <c r="L10" i="4"/>
  <c r="D10" i="4"/>
  <c r="F10" i="4" s="1"/>
  <c r="J10" i="4" s="1"/>
  <c r="M9" i="4"/>
  <c r="L9" i="4"/>
  <c r="D9" i="4"/>
  <c r="F9" i="4" s="1"/>
  <c r="J9" i="4" s="1"/>
  <c r="M8" i="4"/>
  <c r="L8" i="4"/>
  <c r="D8" i="4"/>
  <c r="F8" i="4" s="1"/>
  <c r="J8" i="4" s="1"/>
  <c r="M7" i="4"/>
  <c r="L7" i="4"/>
  <c r="D7" i="4"/>
  <c r="F7" i="4" s="1"/>
  <c r="J7" i="4" s="1"/>
  <c r="M6" i="4"/>
  <c r="L6" i="4"/>
  <c r="D6" i="4"/>
  <c r="F6" i="4" s="1"/>
  <c r="J6" i="4" s="1"/>
  <c r="M5" i="4"/>
  <c r="L5" i="4"/>
  <c r="D5" i="4"/>
  <c r="F5" i="4" s="1"/>
  <c r="J5" i="4" s="1"/>
  <c r="M4" i="4"/>
  <c r="L4" i="4"/>
  <c r="D4" i="4"/>
  <c r="F4" i="4" s="1"/>
  <c r="J4" i="4" s="1"/>
  <c r="M3" i="4"/>
  <c r="M14" i="4" s="1"/>
  <c r="L3" i="4"/>
  <c r="L14" i="4" s="1"/>
  <c r="D3" i="4"/>
  <c r="F3" i="4" s="1"/>
  <c r="J3" i="4" s="1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5" i="3"/>
  <c r="J46" i="3" s="1"/>
  <c r="J42" i="3"/>
  <c r="J41" i="3"/>
  <c r="J40" i="3"/>
  <c r="J36" i="3"/>
  <c r="J35" i="3"/>
  <c r="J37" i="3" s="1"/>
  <c r="J32" i="3"/>
  <c r="J31" i="3"/>
  <c r="J30" i="3"/>
  <c r="J29" i="3"/>
  <c r="J28" i="3"/>
  <c r="J27" i="3"/>
  <c r="J26" i="3"/>
  <c r="H26" i="3"/>
  <c r="J25" i="3"/>
  <c r="J24" i="3"/>
  <c r="J23" i="3"/>
  <c r="D19" i="3"/>
  <c r="F19" i="3" s="1"/>
  <c r="J19" i="3" s="1"/>
  <c r="D18" i="3"/>
  <c r="F18" i="3" s="1"/>
  <c r="J18" i="3" s="1"/>
  <c r="M17" i="3"/>
  <c r="L17" i="3"/>
  <c r="D17" i="3"/>
  <c r="F17" i="3" s="1"/>
  <c r="J17" i="3" s="1"/>
  <c r="M16" i="3"/>
  <c r="L16" i="3"/>
  <c r="D16" i="3"/>
  <c r="F16" i="3" s="1"/>
  <c r="J16" i="3" s="1"/>
  <c r="M15" i="3"/>
  <c r="L15" i="3"/>
  <c r="D15" i="3"/>
  <c r="F15" i="3" s="1"/>
  <c r="J15" i="3" s="1"/>
  <c r="M14" i="3"/>
  <c r="L14" i="3"/>
  <c r="D14" i="3"/>
  <c r="F14" i="3" s="1"/>
  <c r="J14" i="3" s="1"/>
  <c r="M13" i="3"/>
  <c r="L13" i="3"/>
  <c r="D13" i="3"/>
  <c r="F13" i="3" s="1"/>
  <c r="J13" i="3" s="1"/>
  <c r="M12" i="3"/>
  <c r="L12" i="3"/>
  <c r="D12" i="3"/>
  <c r="F12" i="3" s="1"/>
  <c r="J12" i="3" s="1"/>
  <c r="M11" i="3"/>
  <c r="L11" i="3"/>
  <c r="D11" i="3"/>
  <c r="F11" i="3" s="1"/>
  <c r="J11" i="3" s="1"/>
  <c r="M10" i="3"/>
  <c r="L10" i="3"/>
  <c r="D10" i="3"/>
  <c r="F10" i="3" s="1"/>
  <c r="J10" i="3" s="1"/>
  <c r="M9" i="3"/>
  <c r="L9" i="3"/>
  <c r="D9" i="3"/>
  <c r="F9" i="3" s="1"/>
  <c r="J9" i="3" s="1"/>
  <c r="M8" i="3"/>
  <c r="L8" i="3"/>
  <c r="D8" i="3"/>
  <c r="F8" i="3" s="1"/>
  <c r="J8" i="3" s="1"/>
  <c r="M7" i="3"/>
  <c r="L7" i="3"/>
  <c r="D7" i="3"/>
  <c r="F7" i="3" s="1"/>
  <c r="J7" i="3" s="1"/>
  <c r="M6" i="3"/>
  <c r="L6" i="3"/>
  <c r="D6" i="3"/>
  <c r="F6" i="3" s="1"/>
  <c r="J6" i="3" s="1"/>
  <c r="M5" i="3"/>
  <c r="L5" i="3"/>
  <c r="D5" i="3"/>
  <c r="F5" i="3" s="1"/>
  <c r="J5" i="3" s="1"/>
  <c r="M4" i="3"/>
  <c r="L4" i="3"/>
  <c r="D4" i="3"/>
  <c r="F4" i="3" s="1"/>
  <c r="J4" i="3" s="1"/>
  <c r="M3" i="3"/>
  <c r="M18" i="3" s="1"/>
  <c r="L3" i="3"/>
  <c r="L18" i="3" s="1"/>
  <c r="D3" i="3"/>
  <c r="F3" i="3" s="1"/>
  <c r="J3" i="3" s="1"/>
  <c r="D110" i="2"/>
  <c r="D108" i="2"/>
  <c r="L14" i="8" l="1"/>
  <c r="E7" i="6"/>
  <c r="F7" i="6" s="1"/>
  <c r="L9" i="8"/>
  <c r="J57" i="8"/>
  <c r="J58" i="8"/>
  <c r="J59" i="8"/>
  <c r="J62" i="8"/>
  <c r="J60" i="8"/>
  <c r="J61" i="8"/>
  <c r="J63" i="8"/>
  <c r="J15" i="4"/>
  <c r="D2" i="6" s="1"/>
  <c r="N14" i="4"/>
  <c r="L16" i="4" s="1"/>
  <c r="N16" i="4" s="1"/>
  <c r="M16" i="4"/>
  <c r="J20" i="3"/>
  <c r="C2" i="6" l="1"/>
  <c r="J64" i="8"/>
  <c r="E8" i="6" s="1"/>
  <c r="J54" i="4"/>
  <c r="J60" i="4"/>
  <c r="L20" i="4"/>
  <c r="J59" i="4"/>
  <c r="J58" i="4"/>
  <c r="J57" i="4"/>
  <c r="J56" i="4"/>
  <c r="J55" i="4"/>
  <c r="J70" i="3"/>
  <c r="J69" i="3"/>
  <c r="J68" i="3"/>
  <c r="J67" i="3"/>
  <c r="J66" i="3"/>
  <c r="J65" i="3"/>
  <c r="J64" i="3"/>
  <c r="F2" i="6" l="1"/>
  <c r="L15" i="8"/>
  <c r="J67" i="8"/>
  <c r="J68" i="8" s="1"/>
  <c r="J71" i="3"/>
  <c r="J61" i="4"/>
  <c r="D8" i="6" s="1"/>
  <c r="J74" i="3" l="1"/>
  <c r="J75" i="3" s="1"/>
  <c r="J77" i="3" s="1"/>
  <c r="C8" i="6"/>
  <c r="L16" i="8"/>
  <c r="E9" i="6"/>
  <c r="J70" i="8"/>
  <c r="L17" i="8"/>
  <c r="M16" i="8" s="1"/>
  <c r="J64" i="4"/>
  <c r="J65" i="4" s="1"/>
  <c r="J67" i="4" l="1"/>
  <c r="N3" i="4" s="1"/>
  <c r="D9" i="6"/>
  <c r="D10" i="6" s="1"/>
  <c r="F8" i="6"/>
  <c r="N3" i="3"/>
  <c r="C9" i="6"/>
  <c r="C10" i="6" s="1"/>
  <c r="F9" i="6"/>
  <c r="E10" i="6"/>
  <c r="M13" i="8"/>
  <c r="M11" i="8"/>
  <c r="M14" i="8"/>
  <c r="M10" i="8"/>
  <c r="M12" i="8"/>
  <c r="M9" i="8"/>
  <c r="M15" i="8"/>
  <c r="F10" i="6" l="1"/>
  <c r="M17" i="8"/>
  <c r="C14" i="6" l="1"/>
  <c r="C15" i="6"/>
  <c r="C21" i="6"/>
  <c r="C17" i="6"/>
  <c r="C18" i="6"/>
  <c r="C19" i="6"/>
  <c r="C20" i="6"/>
  <c r="C13" i="6"/>
  <c r="C16" i="6"/>
  <c r="G10" i="6"/>
  <c r="G5" i="6"/>
  <c r="G6" i="6"/>
  <c r="G4" i="6"/>
  <c r="G3" i="6"/>
  <c r="G2" i="6"/>
  <c r="G7" i="6"/>
  <c r="G8" i="6"/>
  <c r="G9" i="6"/>
  <c r="C22" i="6" l="1"/>
</calcChain>
</file>

<file path=xl/sharedStrings.xml><?xml version="1.0" encoding="utf-8"?>
<sst xmlns="http://schemas.openxmlformats.org/spreadsheetml/2006/main" count="904" uniqueCount="512">
  <si>
    <t>Tabela Consultoria DNIT - janeiro/2026</t>
  </si>
  <si>
    <t>Categoria</t>
  </si>
  <si>
    <t>Unid.</t>
  </si>
  <si>
    <t>Código</t>
  </si>
  <si>
    <r>
      <rPr>
        <b/>
        <sz val="9"/>
        <color rgb="FFFFFFFF"/>
        <rFont val="Calibri"/>
        <family val="2"/>
      </rPr>
      <t>Salário</t>
    </r>
  </si>
  <si>
    <t>Advogado júnior</t>
  </si>
  <si>
    <t>Mês</t>
  </si>
  <si>
    <t>P8001</t>
  </si>
  <si>
    <t>Administrador júnior</t>
  </si>
  <si>
    <t>P8173</t>
  </si>
  <si>
    <t>Administrador pleno</t>
  </si>
  <si>
    <t>P8174</t>
  </si>
  <si>
    <t>Administrador sênior</t>
  </si>
  <si>
    <t>P8175</t>
  </si>
  <si>
    <t>Advogado pleno</t>
  </si>
  <si>
    <t>P8002</t>
  </si>
  <si>
    <t>Advogado sênior</t>
  </si>
  <si>
    <t>P8003</t>
  </si>
  <si>
    <t>Agente local</t>
  </si>
  <si>
    <t>P8090</t>
  </si>
  <si>
    <t>Analista de desenvolvimento de sistemas júnior</t>
  </si>
  <si>
    <t>P8007</t>
  </si>
  <si>
    <t>Analista de desenvolvimento de sistemas pleno</t>
  </si>
  <si>
    <t>P8008</t>
  </si>
  <si>
    <t>Analista de desenvolvimento de sistemas sênior</t>
  </si>
  <si>
    <t>P8009</t>
  </si>
  <si>
    <t>Antropólogo júnior</t>
  </si>
  <si>
    <t>P8186</t>
  </si>
  <si>
    <t>Antropólogo pleno</t>
  </si>
  <si>
    <t>P8187</t>
  </si>
  <si>
    <t>Antropólogo sênior</t>
  </si>
  <si>
    <t>P8188</t>
  </si>
  <si>
    <t>Arqueólogo júnior</t>
  </si>
  <si>
    <t>P8189</t>
  </si>
  <si>
    <t>Arqueólogo pleno</t>
  </si>
  <si>
    <t>P8190</t>
  </si>
  <si>
    <t>Arqueólogo sênior</t>
  </si>
  <si>
    <t>P8191</t>
  </si>
  <si>
    <t>Arquiteto júnior</t>
  </si>
  <si>
    <t>P8013</t>
  </si>
  <si>
    <t>Arquiteto pleno</t>
  </si>
  <si>
    <t>P8014</t>
  </si>
  <si>
    <t>Arquiteto sênior</t>
  </si>
  <si>
    <t>P8015</t>
  </si>
  <si>
    <t>Arquivista júnior</t>
  </si>
  <si>
    <t>P8167</t>
  </si>
  <si>
    <t>Arquivista pleno</t>
  </si>
  <si>
    <t>P8168</t>
  </si>
  <si>
    <t>Arquivista sênior</t>
  </si>
  <si>
    <t>P8169</t>
  </si>
  <si>
    <t>Assistente social júnior</t>
  </si>
  <si>
    <t>P8019</t>
  </si>
  <si>
    <t>Assistente social pleno</t>
  </si>
  <si>
    <t>P8020</t>
  </si>
  <si>
    <t>Assistente social sênior</t>
  </si>
  <si>
    <t>P8021</t>
  </si>
  <si>
    <t>Auxiliar</t>
  </si>
  <si>
    <t>P8025</t>
  </si>
  <si>
    <t>Auxiliar administrativo</t>
  </si>
  <si>
    <t>P8026</t>
  </si>
  <si>
    <t>Auxiliar de laboratório</t>
  </si>
  <si>
    <t>P8027</t>
  </si>
  <si>
    <t>Auxiliar de topografia</t>
  </si>
  <si>
    <t>P8028</t>
  </si>
  <si>
    <t>Biólogo júnior</t>
  </si>
  <si>
    <t>P8032</t>
  </si>
  <si>
    <t>Biólogo pleno</t>
  </si>
  <si>
    <t>P8033</t>
  </si>
  <si>
    <t>Biólogo sênior</t>
  </si>
  <si>
    <t>P8034</t>
  </si>
  <si>
    <t>Chefe de escritório</t>
  </si>
  <si>
    <t>P8038</t>
  </si>
  <si>
    <t>Contador júnior</t>
  </si>
  <si>
    <t>P8040</t>
  </si>
  <si>
    <t>Contador pleno</t>
  </si>
  <si>
    <t>P8041</t>
  </si>
  <si>
    <t>Contador sênior</t>
  </si>
  <si>
    <t>P8042</t>
  </si>
  <si>
    <t>Coordenador ambiental</t>
  </si>
  <si>
    <t>P8044</t>
  </si>
  <si>
    <t>Designer gráfico</t>
  </si>
  <si>
    <t>P8178</t>
  </si>
  <si>
    <t>Economista júnior</t>
  </si>
  <si>
    <t>P8045</t>
  </si>
  <si>
    <t>Economista pleno</t>
  </si>
  <si>
    <t>P8046</t>
  </si>
  <si>
    <t>Economista sênior</t>
  </si>
  <si>
    <t>P8047</t>
  </si>
  <si>
    <t>Engenheiro agrimensor júnior</t>
  </si>
  <si>
    <t>P8180</t>
  </si>
  <si>
    <t>Engenheiro agrimensor pleno</t>
  </si>
  <si>
    <t>P8181</t>
  </si>
  <si>
    <t>Engenheiro agrimensor sênior</t>
  </si>
  <si>
    <t>P8182</t>
  </si>
  <si>
    <t>Engenheiro agrônomo júnior</t>
  </si>
  <si>
    <t>P8054</t>
  </si>
  <si>
    <t>Engenheiro agrônomo pleno</t>
  </si>
  <si>
    <t>P8055</t>
  </si>
  <si>
    <t>Engenheiro agrônomo sênior</t>
  </si>
  <si>
    <t>P8056</t>
  </si>
  <si>
    <t>Engenheiro ambiental júnior</t>
  </si>
  <si>
    <t>P8057</t>
  </si>
  <si>
    <t>Engenheiro ambiental pleno</t>
  </si>
  <si>
    <t>P8058</t>
  </si>
  <si>
    <t>Engenheiro ambiental sênior</t>
  </si>
  <si>
    <t>P8059</t>
  </si>
  <si>
    <t>Engenheiro consultor especial</t>
  </si>
  <si>
    <t>P8060</t>
  </si>
  <si>
    <t>Engenheiro coordenador</t>
  </si>
  <si>
    <t>P8061</t>
  </si>
  <si>
    <t>Engenheiro de pesca júnior</t>
  </si>
  <si>
    <t>P8062</t>
  </si>
  <si>
    <t>Engenheiro de pesca pleno</t>
  </si>
  <si>
    <t>P8063</t>
  </si>
  <si>
    <t>Engenheiro de pesca sênior</t>
  </si>
  <si>
    <t>P8064</t>
  </si>
  <si>
    <t>Engenheiro de projetos júnior</t>
  </si>
  <si>
    <t>P8065</t>
  </si>
  <si>
    <t>Engenheiro de projetos pleno</t>
  </si>
  <si>
    <t>P8066</t>
  </si>
  <si>
    <t>Engenheiro de projetos sênior</t>
  </si>
  <si>
    <t>P8067</t>
  </si>
  <si>
    <t>Engenheiro florestal júnior</t>
  </si>
  <si>
    <t>P8068</t>
  </si>
  <si>
    <t>Engenheiro florestal pleno</t>
  </si>
  <si>
    <t>P8069</t>
  </si>
  <si>
    <t>Engenheiro florestal sênior</t>
  </si>
  <si>
    <t>P8070</t>
  </si>
  <si>
    <t>Geógrafo júnior</t>
  </si>
  <si>
    <t>P8183</t>
  </si>
  <si>
    <t>Geógrafo pleno</t>
  </si>
  <si>
    <t>P8184</t>
  </si>
  <si>
    <t>Geógrafo sênior</t>
  </si>
  <si>
    <t>P8185</t>
  </si>
  <si>
    <t>Geólogo júnior</t>
  </si>
  <si>
    <t>P8080</t>
  </si>
  <si>
    <t>Geólogo pleno</t>
  </si>
  <si>
    <t>P8081</t>
  </si>
  <si>
    <t>Geólogo sênior</t>
  </si>
  <si>
    <t>P8082</t>
  </si>
  <si>
    <t>Historiador júnior</t>
  </si>
  <si>
    <t>P8192</t>
  </si>
  <si>
    <t>Historiador pleno</t>
  </si>
  <si>
    <t>P8193</t>
  </si>
  <si>
    <t>Historiador sênior</t>
  </si>
  <si>
    <t>P8194</t>
  </si>
  <si>
    <t>Jornalista júnior</t>
  </si>
  <si>
    <t>P8092</t>
  </si>
  <si>
    <t>Jornalista pleno</t>
  </si>
  <si>
    <t>P8093</t>
  </si>
  <si>
    <t>Jornalista sênior</t>
  </si>
  <si>
    <t>P8094</t>
  </si>
  <si>
    <t>Laboratorista</t>
  </si>
  <si>
    <t>P8098</t>
  </si>
  <si>
    <t>Médico veterinário</t>
  </si>
  <si>
    <t>P8102</t>
  </si>
  <si>
    <t>Meteorologista júnior</t>
  </si>
  <si>
    <t>P8106</t>
  </si>
  <si>
    <t>Meteorologista pleno</t>
  </si>
  <si>
    <t>P8107</t>
  </si>
  <si>
    <t>Meteorologista sênior</t>
  </si>
  <si>
    <t>P8108</t>
  </si>
  <si>
    <t>Motorista de caminhão</t>
  </si>
  <si>
    <t>P8112</t>
  </si>
  <si>
    <t>Motorista de veículo leve</t>
  </si>
  <si>
    <t>P8113</t>
  </si>
  <si>
    <t>Oceanógrafo júnior</t>
  </si>
  <si>
    <t>P8117</t>
  </si>
  <si>
    <t>Oceanógrafo pleno</t>
  </si>
  <si>
    <t>P8118</t>
  </si>
  <si>
    <t>Oceanógrafo sênior</t>
  </si>
  <si>
    <t>P8119</t>
  </si>
  <si>
    <t>Paleontólogo júnior</t>
  </si>
  <si>
    <t>P8195</t>
  </si>
  <si>
    <t>Paleontólogo pleno</t>
  </si>
  <si>
    <t>P8196</t>
  </si>
  <si>
    <t>Paleontólogo sênior</t>
  </si>
  <si>
    <t>P8197</t>
  </si>
  <si>
    <t>Pedagogo júnior</t>
  </si>
  <si>
    <t>P8129</t>
  </si>
  <si>
    <t>Pedagogo pleno</t>
  </si>
  <si>
    <t>P8130</t>
  </si>
  <si>
    <t>Pedagogo sênior</t>
  </si>
  <si>
    <t>P8131</t>
  </si>
  <si>
    <t>Secretária</t>
  </si>
  <si>
    <t>P8135</t>
  </si>
  <si>
    <t>Sociólogo júnior</t>
  </si>
  <si>
    <t>P8198</t>
  </si>
  <si>
    <t>Sociólogo pleno</t>
  </si>
  <si>
    <t>P8199</t>
  </si>
  <si>
    <t>Sociólogo sênior</t>
  </si>
  <si>
    <t>P8200</t>
  </si>
  <si>
    <t>Sondador</t>
  </si>
  <si>
    <t>P8139</t>
  </si>
  <si>
    <t>Técnico ambiental</t>
  </si>
  <si>
    <t>P8143</t>
  </si>
  <si>
    <t>Técnico de obras</t>
  </si>
  <si>
    <t>P8147</t>
  </si>
  <si>
    <t>Técnico de segurança do trabalho</t>
  </si>
  <si>
    <t>P8151</t>
  </si>
  <si>
    <t>Técnico em geoprocessamento</t>
  </si>
  <si>
    <t>P8155</t>
  </si>
  <si>
    <t>Topógrafo</t>
  </si>
  <si>
    <t>P8163</t>
  </si>
  <si>
    <t>Bolsa de Coordenador</t>
  </si>
  <si>
    <t>BC</t>
  </si>
  <si>
    <t xml:space="preserve">Bolsa de Professor   </t>
  </si>
  <si>
    <t>BP</t>
  </si>
  <si>
    <t>Bolsa de Professor - RPA</t>
  </si>
  <si>
    <t>PRPA</t>
  </si>
  <si>
    <t>Bolsista de Doutorado - 30 horas</t>
  </si>
  <si>
    <t>BD30</t>
  </si>
  <si>
    <t>Bolsista de Doutorado - 20 horas</t>
  </si>
  <si>
    <t>BD20</t>
  </si>
  <si>
    <t>Bolsista de Mestrado - 30 horas</t>
  </si>
  <si>
    <t>BM30</t>
  </si>
  <si>
    <t>Bolsista de Mestrado - 20 horas</t>
  </si>
  <si>
    <t>BM20</t>
  </si>
  <si>
    <t>Bolsista de Graduação - 30 horas</t>
  </si>
  <si>
    <t>BG30</t>
  </si>
  <si>
    <t>Bolsista de Graduação - 20 horas</t>
  </si>
  <si>
    <t>BG20</t>
  </si>
  <si>
    <t>Qtde</t>
  </si>
  <si>
    <t>DNIT - jul 25</t>
  </si>
  <si>
    <t>Carga Horária Mensal</t>
  </si>
  <si>
    <t>Valor Mensal</t>
  </si>
  <si>
    <t>Meses</t>
  </si>
  <si>
    <t>Vínculo</t>
  </si>
  <si>
    <t>Encargos</t>
  </si>
  <si>
    <t>Total (R$)</t>
  </si>
  <si>
    <t>Ref.</t>
  </si>
  <si>
    <t>Valor (R$)</t>
  </si>
  <si>
    <t>UFSC</t>
  </si>
  <si>
    <t>Externo</t>
  </si>
  <si>
    <t>adm</t>
  </si>
  <si>
    <t>Coordenador do Termo de Execução Descentralizada</t>
  </si>
  <si>
    <t>Bolsa</t>
  </si>
  <si>
    <t>Engenheiro Coordenador</t>
  </si>
  <si>
    <t>CLT</t>
  </si>
  <si>
    <t>Engenheiro Técnico Responsável (civil)</t>
  </si>
  <si>
    <t>Engenheiro de Projetos sênior (civil)</t>
  </si>
  <si>
    <t>Engenheiro de Projetos junior (civil)</t>
  </si>
  <si>
    <t>Engenheiro de Projetos júnior (mecatrônico)</t>
  </si>
  <si>
    <t xml:space="preserve">Analista de Banco de Dados </t>
  </si>
  <si>
    <t>Desenvolvedor Fullstack Sênior</t>
  </si>
  <si>
    <t>Desenvolvedor Front end Sênior</t>
  </si>
  <si>
    <t>Bolsa de Professor</t>
  </si>
  <si>
    <t xml:space="preserve">Bolsista de Graduação </t>
  </si>
  <si>
    <t xml:space="preserve">Bolsista de Mestrado </t>
  </si>
  <si>
    <t>Bolsista de Doutorado</t>
  </si>
  <si>
    <t xml:space="preserve">Redator/Revisor técnico </t>
  </si>
  <si>
    <t>Assessoria técnica especializada</t>
  </si>
  <si>
    <t>RPA</t>
  </si>
  <si>
    <t>Administrador</t>
  </si>
  <si>
    <t>Total do item (R$)</t>
  </si>
  <si>
    <t>Serviços de Terceiros</t>
  </si>
  <si>
    <t>Valor</t>
  </si>
  <si>
    <t>Contratação de serviço de assessoramento especializada satélites</t>
  </si>
  <si>
    <t>Contratação de obtenção de dados satelitais</t>
  </si>
  <si>
    <t xml:space="preserve"> (potencial de corrosão: 1500 x 5(OAE) x 5(furos) (pilar)(viga)(laje) = 37.500</t>
  </si>
  <si>
    <t>Contratação de levantamento geométrico e cadastral das OAEs</t>
  </si>
  <si>
    <t xml:space="preserve"> (orçamento de 2023 - Araranguá)</t>
  </si>
  <si>
    <t>Serviços de instalação de sensores em 5 OAEs</t>
  </si>
  <si>
    <t>Calibração dos sistemas de monitoramento em 1 OAE (3 caminhões)</t>
  </si>
  <si>
    <t>Serviços de manutenção, locacão, de IA  e demais serviços técnicos profissionais</t>
  </si>
  <si>
    <t>Ensaios em testemunhos e não-destrutivos</t>
  </si>
  <si>
    <t>(satélite antena+mensalidade)</t>
  </si>
  <si>
    <t>Energia elétrica para transmissão de dados</t>
  </si>
  <si>
    <t>Transmissão de dados</t>
  </si>
  <si>
    <t>(5 OAEs x 2 visitas; 2 pessoas = 20 viagens)</t>
  </si>
  <si>
    <t>Passagens e Despesas com Locomoção</t>
  </si>
  <si>
    <t>Qtde/Mês</t>
  </si>
  <si>
    <t>Unitário</t>
  </si>
  <si>
    <t>(5 visitas CAN x 3 pessoas) + (1 visita benchmarking JPN x 3 pessoas) = 18 viagens</t>
  </si>
  <si>
    <t>Passagens Nacionais - aéreas e terrestres</t>
  </si>
  <si>
    <t>Passagens Internacional - aéreas e terrestres</t>
  </si>
  <si>
    <t xml:space="preserve">(20 viagens; 3 dias cada; 2 pessoas = 120) </t>
  </si>
  <si>
    <t xml:space="preserve">Diárias </t>
  </si>
  <si>
    <t>(18 viagens; 4 dias; 3 pessoas = 216)</t>
  </si>
  <si>
    <t>Despesas com hospedagem e alimentação (nacional)</t>
  </si>
  <si>
    <t>Despesas com hospedagem e alimentação (internacional)</t>
  </si>
  <si>
    <t>Material de Consumo</t>
  </si>
  <si>
    <t>Mensal</t>
  </si>
  <si>
    <t>Material de expediente, consumo e insumos de infomática</t>
  </si>
  <si>
    <t>Equipamentos</t>
  </si>
  <si>
    <t>Sensores e aquisitor (OAE de laje contínua c/ strain gauges, acelerômetro, termopar - fibra óptica)</t>
  </si>
  <si>
    <t>Sensores e aquisitor (OAE em grelha biapoiada c/ strain gauges, termopar)</t>
  </si>
  <si>
    <t>Sensores e aquisitor (OAE com vãos contínuos c/ strain gauges, termopar)</t>
  </si>
  <si>
    <t>Sensores e aquisitor (OAE seção caixão c/ strain gauges, termopar)</t>
  </si>
  <si>
    <t xml:space="preserve"> (se monitoramento for contínuo)</t>
  </si>
  <si>
    <t>Sensores e aquisitor para potencial de corrosão</t>
  </si>
  <si>
    <t>Gabinetes antivandalismo e comunicação/armazenamento de dados</t>
  </si>
  <si>
    <t>Servidor Rack PowerEdge R360 (Dell) para as 5 OAEs</t>
  </si>
  <si>
    <t>Equipamentos de medição portáteis (ultrassom, pacometria, esclerometria, termografia)</t>
  </si>
  <si>
    <t>Computadores Desktop Intel i9/AMD Ryzen 7 16Gb Ram 2Tb HD</t>
  </si>
  <si>
    <t>Monitor 29" 4k</t>
  </si>
  <si>
    <t>Notebook</t>
  </si>
  <si>
    <t>Teclado, mouse e fone</t>
  </si>
  <si>
    <t>Ressarcimento de Custos Operacionais Fundação  de Apoio</t>
  </si>
  <si>
    <t>Percentual</t>
  </si>
  <si>
    <t>Abertura e gestão técnica do projeto</t>
  </si>
  <si>
    <t>Procedimentos jurídicos</t>
  </si>
  <si>
    <t>Procedimentos de compras</t>
  </si>
  <si>
    <t>Gestão de recursos humanos</t>
  </si>
  <si>
    <t>Procedimentos financeiros</t>
  </si>
  <si>
    <t>Procedimentos contábeis</t>
  </si>
  <si>
    <t>Tramitações e arquivamentos</t>
  </si>
  <si>
    <t>Ressarcimentos de Custos Operacionais Universidade Federal</t>
  </si>
  <si>
    <t>Ressarcimentos de Custos Operacionais</t>
  </si>
  <si>
    <t>Valor Total do Orçamento (R$)</t>
  </si>
  <si>
    <t>Analista de Desenvolvimento de Sistemas Júnior</t>
  </si>
  <si>
    <t>Licenças de software/APIs</t>
  </si>
  <si>
    <t>Manutenção de Equipamentos</t>
  </si>
  <si>
    <t>Serviços técnicos profissionais</t>
  </si>
  <si>
    <t>Locação de veículo para testes em campo</t>
  </si>
  <si>
    <r>
      <t>N</t>
    </r>
    <r>
      <rPr>
        <b/>
        <sz val="9"/>
        <color theme="0"/>
        <rFont val="Calibri"/>
        <family val="2"/>
      </rPr>
      <t>°</t>
    </r>
  </si>
  <si>
    <t>Item de Despesa</t>
  </si>
  <si>
    <t>Equipe Técnica</t>
  </si>
  <si>
    <t>Diárias</t>
  </si>
  <si>
    <t>Ressarcimentos Fundação de Apoio</t>
  </si>
  <si>
    <t>Ressarcimentos UFSC</t>
  </si>
  <si>
    <t>Totais (R$)</t>
  </si>
  <si>
    <t>N°</t>
  </si>
  <si>
    <t>Cronograma de Desembolso</t>
  </si>
  <si>
    <t>Até 10 dias após assinatura do Termo de Execuçaõ descentralizada</t>
  </si>
  <si>
    <t>Mediante aprovalção e entrega do relatório 1 - R1</t>
  </si>
  <si>
    <t>Mediante aprovalção e entrega do relatório 2 - R2</t>
  </si>
  <si>
    <t>Mediante aprovalção e entrega do relatório 3 - R3</t>
  </si>
  <si>
    <t>Mediante aprovalção e entrega do relatório 4 - R4</t>
  </si>
  <si>
    <t>Mediante aprovalção e entrega do relatório 5 - R5</t>
  </si>
  <si>
    <t>Mediante aprovalção e entrega do relatório 6 - R6</t>
  </si>
  <si>
    <t>Mediante aprovalção e entrega do relatório 7 - R7</t>
  </si>
  <si>
    <t>Mediante aprovalção e entrega do relatório 8 - R8</t>
  </si>
  <si>
    <t>Valor total (R$)</t>
  </si>
  <si>
    <t>AÇÕES / METAS / ATIVIDADES  / PRODUTOS</t>
  </si>
  <si>
    <t>Meta 1A - Definir tecnologias, métodos e procedimentos para avaliação e monitoramento de OAE com foco em SHM</t>
  </si>
  <si>
    <t>1A1</t>
  </si>
  <si>
    <t>Identificação de parâmetros de monitoramento da saúde estrutural de OAEs</t>
  </si>
  <si>
    <t>1A2</t>
  </si>
  <si>
    <t>Identificação dos tipos de sensores e métodos de ensaios</t>
  </si>
  <si>
    <t>Produto 1A.1 - Estudo do estado da arte e da prática sobre Structural Health Monitoring (SHM) aplicado a Obras de Arte Especiais, incluindo diretrizes técnicas preliminares para a definição de parâmetros, seleção de sensores e métodos de monitoramento</t>
  </si>
  <si>
    <t>Instrumentação e Diagnóstico do Ciclo Completo de Monitoramento das OAEs</t>
  </si>
  <si>
    <t>5 OAEs</t>
  </si>
  <si>
    <t>2A1</t>
  </si>
  <si>
    <t>Identificação de cinco OAEs para coleta de dados com sensores e satélites</t>
  </si>
  <si>
    <t>2A2</t>
  </si>
  <si>
    <t>Elaboração de projeto de instrumentação e inspeção das OAEs</t>
  </si>
  <si>
    <t>Aquisição de equipamentos e contratação de serviços de monitoramento por satélite</t>
  </si>
  <si>
    <t>Instalação de sistema de instrumentação de OAEs e realização de ensaios do concreto</t>
  </si>
  <si>
    <t>Calibração e homologação do sistema instalado</t>
  </si>
  <si>
    <t>Elaboração de modelos de análise estrutural de OAEs</t>
  </si>
  <si>
    <t>Integração de dados experimentais utilizando gêmeos digitais</t>
  </si>
  <si>
    <t>Realização de estudos e análises baseadas em dados (com IA) para a interpretação do ciclo completo de monitoramento</t>
  </si>
  <si>
    <t>Apoio na elaboração de normas e diretrizes para instrumentação e monitoramento de OAEs</t>
  </si>
  <si>
    <t>Desenvolvimento de ferramenta para integração e diagnóstico de dados</t>
  </si>
  <si>
    <t>Treinamento e apoio na interpretação dos dados de monitoramento de OAEs</t>
  </si>
  <si>
    <t>Suporte à Análise dos Relatórios Encaminhados pelo DNIT</t>
  </si>
  <si>
    <t>100 OAEs</t>
  </si>
  <si>
    <t>3A1</t>
  </si>
  <si>
    <t>Estudo dos dados e relatórios técnicos relacionados ao monitoramento de OAEs da DIR</t>
  </si>
  <si>
    <t>3A2</t>
  </si>
  <si>
    <t>Comparação entre as informações dos relatórios de monitoramento e capacidade estrutural das OAEs</t>
  </si>
  <si>
    <t xml:space="preserve"> </t>
  </si>
  <si>
    <t>10 Produtos</t>
  </si>
  <si>
    <t>10 projetos por Produto</t>
  </si>
  <si>
    <t>3B1</t>
  </si>
  <si>
    <t>Compatibilização das metodologias de monitoramento de OAE</t>
  </si>
  <si>
    <t>3B2</t>
  </si>
  <si>
    <t xml:space="preserve">Identificação dos processos para o monitoramento de OAEs </t>
  </si>
  <si>
    <t>3B3</t>
  </si>
  <si>
    <t>Consolidação da ferramenta computacional</t>
  </si>
  <si>
    <t>3B4</t>
  </si>
  <si>
    <t>Operação de OAEs em situação de alerta</t>
  </si>
  <si>
    <t>Selecionar OAE/cenários e levantar condições operacionais</t>
  </si>
  <si>
    <t>Definir a interface formal entre monitoramento e operação</t>
  </si>
  <si>
    <t>Mapear atores, competências, plantões, canais e escalonamento</t>
  </si>
  <si>
    <t>Avaliar a necessidade de dados de carga, configuração, faixa e velocidade</t>
  </si>
  <si>
    <t>Avaliar a viabilidade do HSWIM, quando indicado</t>
  </si>
  <si>
    <t>Definir requisitos de dados, vídeo, segurança, continuidade e auditoria</t>
  </si>
  <si>
    <t>Definir estados operacionais, transições, autoridade e tempos-alvo</t>
  </si>
  <si>
    <t>Definir estratégias de observação, restrição, desvio e interdição</t>
  </si>
  <si>
    <t>Projetar o fluxo de fechamento progressivo e seguro</t>
  </si>
  <si>
    <t>Definir mensagens e planos de sinalização fixa, temporária e variável</t>
  </si>
  <si>
    <t>Definir comunicação com usuários, CCO, PRF, Defesa Civil e demais atores</t>
  </si>
  <si>
    <t>Definir critérios de reabertura, inspeção pós-evento e lições aprendidas</t>
  </si>
  <si>
    <t>Elaborar a arquitetura física e lógica do sistema integrado</t>
  </si>
  <si>
    <t>Desenvolver estudos de tráfego e projeto de sinalização por fases</t>
  </si>
  <si>
    <t>Projetar barreiras/cancelas, intertravamentos e liberação de emergência</t>
  </si>
  <si>
    <t>Especificar cobertura de câmeras e requisitos de vídeo</t>
  </si>
  <si>
    <t>Projetar energia, comunicação, cibersegurança e recuperação</t>
  </si>
  <si>
    <t>Elaborar especificações, quantitativos, manutenção e matriz de testes</t>
  </si>
  <si>
    <t>Apoiar aquisição e implantação dentro do escopo aprovado [condicionado]</t>
  </si>
  <si>
    <t>Executar testes de fábrica, campo, integração, falhas e recuperação</t>
  </si>
  <si>
    <t>Realizar exercícios de mesa e simulados em campo</t>
  </si>
  <si>
    <t>Capacitar operadores, manutenção, equipes técnicas e gestores</t>
  </si>
  <si>
    <t>Acompanhar operação assistida e consolidar melhorias</t>
  </si>
  <si>
    <t>Valor Total do Orçamento Presumido da Ação 4 (R$)</t>
  </si>
  <si>
    <t>Ressarcimento de Custos Operacionais Fundação de Apoio</t>
  </si>
  <si>
    <t>Sobressalentes e instrumentos para manutenção inicial</t>
  </si>
  <si>
    <t>Licenças, módulos de integração e cibersegurança</t>
  </si>
  <si>
    <t>Estações de operação e engenharia</t>
  </si>
  <si>
    <t>Servidor, armazenamento, registros e integração ao CCO</t>
  </si>
  <si>
    <t>Rede, fibra, comunicação principal/contingente e obras associadas</t>
  </si>
  <si>
    <t>Energia, UPS, proteção, aterramento e contingência</t>
  </si>
  <si>
    <t>Controladores locais, gabinetes e interfaces de campo</t>
  </si>
  <si>
    <t>Detectores de presença, ocupação, fluxo e velocidade</t>
  </si>
  <si>
    <t>Barreiras/cancelas com intertravamentos e liberação de emergência</t>
  </si>
  <si>
    <t>Câmeras IP/analíticas para aproximações, tabuleiro e dispositivos</t>
  </si>
  <si>
    <t>Painéis de mensagem variável com controladores e comunicação</t>
  </si>
  <si>
    <t>Sistema HSWIM completo para até quatro faixas, quando tecnicamente indicado</t>
  </si>
  <si>
    <t>Materiais de campo, sinalização provisória, cabos, conectores e insumos</t>
  </si>
  <si>
    <t>Diárias para simulados, operação noturna e contingências</t>
  </si>
  <si>
    <t>Hospedagem e alimentação — levantamentos, implantação e testes</t>
  </si>
  <si>
    <t>Transporte terrestre especializado e mobilização de equipamentos</t>
  </si>
  <si>
    <t>Passagens nacionais — equipes de campo e reuniões técnicas</t>
  </si>
  <si>
    <t>Calibração, comissionamento, FAT/SAT, simulados e capacitação</t>
  </si>
  <si>
    <t>Instalação e integração dos equipamentos de campo</t>
  </si>
  <si>
    <t>Estudos de tráfego, carga passante e necessidade de dados</t>
  </si>
  <si>
    <t>Bolsista de doutorado</t>
  </si>
  <si>
    <t>Total da Ação 4</t>
  </si>
  <si>
    <t>Bolsista de mestrado</t>
  </si>
  <si>
    <t>Assessoria técnica independente e revisão</t>
  </si>
  <si>
    <t>Técnico de obras e instalações</t>
  </si>
  <si>
    <t>Especialista em dados e cibersegurança</t>
  </si>
  <si>
    <t>Passagens e Locomoção</t>
  </si>
  <si>
    <t>Analista de sistemas, dados e painéis</t>
  </si>
  <si>
    <t>Analista sênior de sistemas e integração</t>
  </si>
  <si>
    <t>Especialista sênior em HSWIM e metrologia</t>
  </si>
  <si>
    <t>% da Ação 4</t>
  </si>
  <si>
    <t>Rubrica</t>
  </si>
  <si>
    <t>Engenheiro de projetos civis e sinalização</t>
  </si>
  <si>
    <t>Engenheiro de automação, energia e sistemas</t>
  </si>
  <si>
    <t>Valores da equipe usam as referências DNIT de julho/2025 constantes do arquivo fornecido.</t>
  </si>
  <si>
    <t>Engenheiro de tráfego e operação rodoviária</t>
  </si>
  <si>
    <t>Rubricas, encargos e percentuais seguem as abas Orçamento e Consolidado do arquivo de referência.</t>
  </si>
  <si>
    <t>Engenheiro responsável técnico estrutural</t>
  </si>
  <si>
    <t>HSWIM somente se as atividades 4A4 e 4A5 confirmarem necessidade e viabilidade.</t>
  </si>
  <si>
    <t>Engenheiro coordenador da Ação 4</t>
  </si>
  <si>
    <t>Cenário: uma OAE-piloto, com até quatro faixas/acessos e integração a um CCO.</t>
  </si>
  <si>
    <t>Estimativa paramétrica adicional; não altera o orçamento vigente sem aprovação e ajuste formal.</t>
  </si>
  <si>
    <t>PREMISSAS DO CENÁRIO-BASE</t>
  </si>
  <si>
    <t>Equipe Técnica — Ação 4
(orçamento presumido)</t>
  </si>
  <si>
    <t>Valor da Ação 1</t>
  </si>
  <si>
    <t>Valor da Ação 2</t>
  </si>
  <si>
    <t>Valor da Ação 3</t>
  </si>
  <si>
    <t xml:space="preserve">Valor Total </t>
  </si>
  <si>
    <t>DNIT - jan 26</t>
  </si>
  <si>
    <t>Meta 2A - Avaliar as informações sobre monitoramento de OAEs das empresas contratadas pela DIR</t>
  </si>
  <si>
    <t>Produto 2A1 - Compatibilização da avalição da capacidade estrutural das OAEs</t>
  </si>
  <si>
    <t>Meta 2B - Apoiar o acompanhamento, a integração e o aprimoramento da análise e interpretação de dados de monitoramento</t>
  </si>
  <si>
    <t>2B1</t>
  </si>
  <si>
    <t>2B2</t>
  </si>
  <si>
    <t>2B3</t>
  </si>
  <si>
    <t>2B4</t>
  </si>
  <si>
    <t>Produto 2B1 - Relatório técnico de identificação de melhorias nos processos de análise e interpretação de dados</t>
  </si>
  <si>
    <t>Produto 2B2 - Elaboração do Plano de Monitoramento de OAE</t>
  </si>
  <si>
    <t>Produto 2B3 - Consolidação da ferramenta computacional de monitoramento de OAEs</t>
  </si>
  <si>
    <t>Produto 2B4 - Treinamento da ferramenta computacional consolidada de monitoramento de OAEs</t>
  </si>
  <si>
    <t>Meta 1B - Monitorar e avaliar a estrutura de OAEs por sensores e satélites</t>
  </si>
  <si>
    <t>1B1</t>
  </si>
  <si>
    <t>1B2</t>
  </si>
  <si>
    <t>1B3</t>
  </si>
  <si>
    <t>1B4</t>
  </si>
  <si>
    <t>1B5</t>
  </si>
  <si>
    <t>1B6</t>
  </si>
  <si>
    <t>1B7</t>
  </si>
  <si>
    <t>1B8</t>
  </si>
  <si>
    <t>1B9</t>
  </si>
  <si>
    <t>1B10</t>
  </si>
  <si>
    <t>1B11</t>
  </si>
  <si>
    <t>1B12</t>
  </si>
  <si>
    <t>Produto 1B1 - Metodologia de Instrumentação de sensores para monitoramento de OAEs</t>
  </si>
  <si>
    <t>Produto 1B2 - Metodologia de aquisição de dados por satélites para monitoramento de OAEs</t>
  </si>
  <si>
    <t>Produto 1B3 - Projeto de instrumentação das OAEs</t>
  </si>
  <si>
    <t>Produto 1B4 - Base de dados dos sensores para monitoramento de OAEs</t>
  </si>
  <si>
    <t>Produto 1B5 - Modelos numéricos e gêmeos digitais para interpretação de dados de monitoramento de OAEs</t>
  </si>
  <si>
    <t>Produto 1B6 - Minuta de normas para instrumentação e monitoramento de OAEs</t>
  </si>
  <si>
    <t>Produto 1B7 - Ferramenta computacional de monitoramento de OAEs</t>
  </si>
  <si>
    <t>Produto 1B8 - Treinamento da ferramenta computacional de monitoramento de OAEs</t>
  </si>
  <si>
    <t>Meta 3A — Diagnosticar a prontidão operacional e as interfaces</t>
  </si>
  <si>
    <t>3A3</t>
  </si>
  <si>
    <t>3A4</t>
  </si>
  <si>
    <t>3A5</t>
  </si>
  <si>
    <t>3A6</t>
  </si>
  <si>
    <t>Produto 3A.1 Diagnóstico de prontidão operacional por OAE/cenário e mapa de atores</t>
  </si>
  <si>
    <t>Produto 3A.3 Estudo de necessidade e viabilidade de HSWIM ou solução equivalente</t>
  </si>
  <si>
    <t>Produto 3A.2 Especificação da interface monitoramento–operação</t>
  </si>
  <si>
    <t>Meta 3B — Elaborar o Plano de Operação em Alerta</t>
  </si>
  <si>
    <t>3B5</t>
  </si>
  <si>
    <t>3B6</t>
  </si>
  <si>
    <t>Produto 3B.1 Plano de Operação em Alerta por OAE/cenário</t>
  </si>
  <si>
    <t>Produto 3B.2 Matriz de alerta e resposta com responsabilidades, tempos e comunicações</t>
  </si>
  <si>
    <t>Produto 3B.3 Catálogo de POPs, checklists, mensagens e critérios de reabertura</t>
  </si>
  <si>
    <t>Meta 3C — Projetar o sistema integrado de operação, sinalização e fechamento</t>
  </si>
  <si>
    <t>3C1</t>
  </si>
  <si>
    <t>3C2</t>
  </si>
  <si>
    <t>3C3</t>
  </si>
  <si>
    <t>3C4</t>
  </si>
  <si>
    <t>3C5</t>
  </si>
  <si>
    <t>3C6</t>
  </si>
  <si>
    <t>Produto 3C.1 Projeto funcional integrado do sistema de operação</t>
  </si>
  <si>
    <t>Produto 3C.2 Projeto de sinalização, PMV, câmeras e fechamento por OAE/cenário</t>
  </si>
  <si>
    <t>Produto 3C.3 Especificações, quantitativos, manutenção e plano de testes</t>
  </si>
  <si>
    <t>Meta 3D — Testar, capacitar e apoiar a entrada em operação</t>
  </si>
  <si>
    <t>3D1</t>
  </si>
  <si>
    <t>3D2</t>
  </si>
  <si>
    <t>3D3</t>
  </si>
  <si>
    <t>3D4</t>
  </si>
  <si>
    <t>3D5</t>
  </si>
  <si>
    <t>Produto 3D.1 Relatório de implantação e configuração à aprovação</t>
  </si>
  <si>
    <t>Produto 3D.2 Relatório de comissionamento, testes e simulados</t>
  </si>
  <si>
    <t>Produto 3D.3 Manuais, treinamento e relatório de operação assistida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</si>
</sst>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??_-;_-@"/>
    <numFmt numFmtId="166" formatCode="0#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1"/>
      <color theme="1"/>
      <name val="Arial"/>
    </font>
    <font>
      <sz val="9"/>
      <color rgb="FF000000"/>
      <name val="Calibri"/>
      <family val="2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1"/>
      <color theme="1"/>
      <name val="Arial"/>
      <family val="2"/>
    </font>
    <font>
      <sz val="9"/>
      <name val="Calibri"/>
      <family val="2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0"/>
      <name val="Aptos Narrow"/>
      <family val="2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sz val="9"/>
      <color theme="0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sz val="11"/>
      <name val="Carlito"/>
    </font>
    <font>
      <sz val="9"/>
      <color rgb="FF7F6000"/>
      <name val="Calibri"/>
      <family val="2"/>
    </font>
    <font>
      <sz val="9"/>
      <color rgb="FF1F1F1F"/>
      <name val="Calibri"/>
      <family val="2"/>
    </font>
    <font>
      <b/>
      <sz val="9"/>
      <color rgb="FF1F1F1F"/>
      <name val="Calibri"/>
      <family val="2"/>
    </font>
    <font>
      <b/>
      <sz val="11"/>
      <name val="Carlito"/>
    </font>
  </fonts>
  <fills count="27">
    <fill>
      <patternFill patternType="none"/>
    </fill>
    <fill>
      <patternFill patternType="gray125"/>
    </fill>
    <fill>
      <patternFill patternType="solid">
        <fgColor rgb="FF00376F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F5496"/>
        <bgColor rgb="FF2F549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76933C"/>
        <bgColor rgb="FF548DD4"/>
      </patternFill>
    </fill>
    <fill>
      <patternFill patternType="solid">
        <fgColor theme="6" tint="0.79998168889431442"/>
        <bgColor rgb="FFB8CCE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1"/>
        <bgColor rgb="FFB8CCE4"/>
      </patternFill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000000"/>
      </patternFill>
    </fill>
  </fills>
  <borders count="6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5">
    <xf numFmtId="0" fontId="0" fillId="0" borderId="0"/>
    <xf numFmtId="0" fontId="2" fillId="0" borderId="0"/>
    <xf numFmtId="0" fontId="4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4" fillId="0" borderId="0"/>
    <xf numFmtId="0" fontId="28" fillId="0" borderId="0"/>
  </cellStyleXfs>
  <cellXfs count="322">
    <xf numFmtId="0" fontId="0" fillId="0" borderId="0" xfId="0"/>
    <xf numFmtId="0" fontId="5" fillId="0" borderId="0" xfId="2" applyFont="1" applyAlignment="1">
      <alignment horizontal="left" vertical="top"/>
    </xf>
    <xf numFmtId="0" fontId="6" fillId="2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/>
    </xf>
    <xf numFmtId="0" fontId="8" fillId="3" borderId="3" xfId="2" applyFont="1" applyFill="1" applyBorder="1" applyAlignment="1">
      <alignment horizontal="left" vertical="center"/>
    </xf>
    <xf numFmtId="0" fontId="8" fillId="3" borderId="3" xfId="2" applyFont="1" applyFill="1" applyBorder="1" applyAlignment="1">
      <alignment horizontal="center" vertical="center"/>
    </xf>
    <xf numFmtId="40" fontId="8" fillId="3" borderId="4" xfId="2" applyNumberFormat="1" applyFont="1" applyFill="1" applyBorder="1" applyAlignment="1">
      <alignment vertical="center"/>
    </xf>
    <xf numFmtId="0" fontId="8" fillId="4" borderId="3" xfId="2" applyFont="1" applyFill="1" applyBorder="1" applyAlignment="1">
      <alignment horizontal="left" vertical="center"/>
    </xf>
    <xf numFmtId="0" fontId="8" fillId="4" borderId="3" xfId="2" applyFont="1" applyFill="1" applyBorder="1" applyAlignment="1">
      <alignment horizontal="center" vertical="center"/>
    </xf>
    <xf numFmtId="40" fontId="8" fillId="4" borderId="4" xfId="2" applyNumberFormat="1" applyFont="1" applyFill="1" applyBorder="1" applyAlignment="1">
      <alignment vertical="center"/>
    </xf>
    <xf numFmtId="40" fontId="5" fillId="0" borderId="0" xfId="2" applyNumberFormat="1" applyFont="1" applyAlignment="1">
      <alignment horizontal="left" vertical="center"/>
    </xf>
    <xf numFmtId="0" fontId="5" fillId="0" borderId="0" xfId="2" applyFont="1" applyAlignment="1">
      <alignment vertical="top"/>
    </xf>
    <xf numFmtId="0" fontId="5" fillId="0" borderId="0" xfId="2" applyFont="1" applyAlignment="1">
      <alignment horizontal="center" vertical="top"/>
    </xf>
    <xf numFmtId="0" fontId="6" fillId="5" borderId="2" xfId="3" applyFont="1" applyFill="1" applyBorder="1" applyAlignment="1">
      <alignment horizontal="center" vertical="center"/>
    </xf>
    <xf numFmtId="0" fontId="6" fillId="5" borderId="0" xfId="3" applyFont="1" applyFill="1" applyAlignment="1">
      <alignment horizontal="center" vertical="center"/>
    </xf>
    <xf numFmtId="0" fontId="11" fillId="0" borderId="0" xfId="3" applyFont="1" applyAlignment="1">
      <alignment horizontal="center"/>
    </xf>
    <xf numFmtId="0" fontId="0" fillId="0" borderId="0" xfId="3" applyFont="1"/>
    <xf numFmtId="0" fontId="10" fillId="0" borderId="0" xfId="3" applyFont="1"/>
    <xf numFmtId="0" fontId="12" fillId="0" borderId="0" xfId="4" applyFont="1" applyAlignment="1">
      <alignment horizontal="center"/>
    </xf>
    <xf numFmtId="0" fontId="13" fillId="0" borderId="0" xfId="4" applyFont="1" applyAlignment="1">
      <alignment horizontal="center"/>
    </xf>
    <xf numFmtId="0" fontId="14" fillId="6" borderId="5" xfId="4" applyFont="1" applyFill="1" applyBorder="1" applyAlignment="1">
      <alignment vertical="center"/>
    </xf>
    <xf numFmtId="0" fontId="8" fillId="6" borderId="5" xfId="4" applyFont="1" applyFill="1" applyBorder="1" applyAlignment="1">
      <alignment horizontal="center" vertical="center"/>
    </xf>
    <xf numFmtId="1" fontId="8" fillId="6" borderId="5" xfId="4" applyNumberFormat="1" applyFont="1" applyFill="1" applyBorder="1" applyAlignment="1">
      <alignment horizontal="center" vertical="center" wrapText="1"/>
    </xf>
    <xf numFmtId="164" fontId="14" fillId="6" borderId="6" xfId="5" applyFont="1" applyFill="1" applyBorder="1" applyAlignment="1">
      <alignment vertical="center"/>
    </xf>
    <xf numFmtId="0" fontId="8" fillId="6" borderId="6" xfId="3" applyFont="1" applyFill="1" applyBorder="1" applyAlignment="1">
      <alignment horizontal="center" vertical="center"/>
    </xf>
    <xf numFmtId="0" fontId="8" fillId="6" borderId="5" xfId="3" applyFont="1" applyFill="1" applyBorder="1" applyAlignment="1">
      <alignment horizontal="center" vertical="center"/>
    </xf>
    <xf numFmtId="10" fontId="8" fillId="6" borderId="5" xfId="3" applyNumberFormat="1" applyFont="1" applyFill="1" applyBorder="1" applyAlignment="1">
      <alignment horizontal="center" vertical="center"/>
    </xf>
    <xf numFmtId="165" fontId="8" fillId="6" borderId="5" xfId="3" applyNumberFormat="1" applyFont="1" applyFill="1" applyBorder="1" applyAlignment="1">
      <alignment horizontal="center" vertical="center"/>
    </xf>
    <xf numFmtId="165" fontId="8" fillId="6" borderId="0" xfId="3" applyNumberFormat="1" applyFont="1" applyFill="1" applyAlignment="1">
      <alignment horizontal="center" vertical="center"/>
    </xf>
    <xf numFmtId="0" fontId="11" fillId="0" borderId="0" xfId="4" applyFont="1" applyAlignment="1">
      <alignment horizontal="center"/>
    </xf>
    <xf numFmtId="10" fontId="11" fillId="0" borderId="0" xfId="6" applyNumberFormat="1" applyFont="1" applyBorder="1" applyAlignment="1">
      <alignment horizontal="center"/>
    </xf>
    <xf numFmtId="10" fontId="0" fillId="0" borderId="0" xfId="3" applyNumberFormat="1" applyFont="1"/>
    <xf numFmtId="0" fontId="11" fillId="7" borderId="6" xfId="7" applyFont="1" applyFill="1" applyBorder="1" applyAlignment="1">
      <alignment vertical="center"/>
    </xf>
    <xf numFmtId="0" fontId="11" fillId="7" borderId="6" xfId="7" applyFont="1" applyFill="1" applyBorder="1" applyAlignment="1">
      <alignment horizontal="center" vertical="center"/>
    </xf>
    <xf numFmtId="165" fontId="8" fillId="7" borderId="7" xfId="4" applyNumberFormat="1" applyFont="1" applyFill="1" applyBorder="1" applyAlignment="1">
      <alignment horizontal="center" vertical="center"/>
    </xf>
    <xf numFmtId="0" fontId="8" fillId="7" borderId="6" xfId="3" applyFont="1" applyFill="1" applyBorder="1" applyAlignment="1">
      <alignment horizontal="center" vertical="center"/>
    </xf>
    <xf numFmtId="164" fontId="14" fillId="7" borderId="6" xfId="5" applyFont="1" applyFill="1" applyBorder="1" applyAlignment="1">
      <alignment vertical="center"/>
    </xf>
    <xf numFmtId="10" fontId="8" fillId="7" borderId="6" xfId="3" applyNumberFormat="1" applyFont="1" applyFill="1" applyBorder="1" applyAlignment="1">
      <alignment horizontal="center" vertical="center"/>
    </xf>
    <xf numFmtId="165" fontId="8" fillId="7" borderId="6" xfId="3" applyNumberFormat="1" applyFont="1" applyFill="1" applyBorder="1" applyAlignment="1">
      <alignment horizontal="center" vertical="center"/>
    </xf>
    <xf numFmtId="165" fontId="8" fillId="7" borderId="0" xfId="3" applyNumberFormat="1" applyFont="1" applyFill="1" applyAlignment="1">
      <alignment horizontal="center" vertical="center"/>
    </xf>
    <xf numFmtId="0" fontId="0" fillId="0" borderId="0" xfId="4" applyFont="1"/>
    <xf numFmtId="165" fontId="8" fillId="7" borderId="7" xfId="8" applyNumberFormat="1" applyFont="1" applyFill="1" applyBorder="1" applyAlignment="1">
      <alignment horizontal="center" vertical="center"/>
    </xf>
    <xf numFmtId="0" fontId="14" fillId="7" borderId="6" xfId="4" applyFont="1" applyFill="1" applyBorder="1" applyAlignment="1">
      <alignment vertical="center"/>
    </xf>
    <xf numFmtId="0" fontId="14" fillId="7" borderId="7" xfId="4" applyFont="1" applyFill="1" applyBorder="1" applyAlignment="1">
      <alignment vertical="center"/>
    </xf>
    <xf numFmtId="0" fontId="8" fillId="7" borderId="7" xfId="4" applyFont="1" applyFill="1" applyBorder="1" applyAlignment="1">
      <alignment horizontal="center" vertical="center"/>
    </xf>
    <xf numFmtId="10" fontId="8" fillId="7" borderId="7" xfId="4" applyNumberFormat="1" applyFont="1" applyFill="1" applyBorder="1" applyAlignment="1">
      <alignment horizontal="center" vertical="center"/>
    </xf>
    <xf numFmtId="165" fontId="14" fillId="7" borderId="0" xfId="3" applyNumberFormat="1" applyFont="1" applyFill="1" applyAlignment="1">
      <alignment horizontal="center" vertical="center"/>
    </xf>
    <xf numFmtId="0" fontId="15" fillId="7" borderId="6" xfId="9" applyFont="1" applyFill="1" applyBorder="1" applyAlignment="1">
      <alignment vertical="center"/>
    </xf>
    <xf numFmtId="10" fontId="14" fillId="7" borderId="6" xfId="3" applyNumberFormat="1" applyFont="1" applyFill="1" applyBorder="1" applyAlignment="1">
      <alignment horizontal="center" vertical="center"/>
    </xf>
    <xf numFmtId="0" fontId="9" fillId="0" borderId="0" xfId="10"/>
    <xf numFmtId="0" fontId="15" fillId="7" borderId="6" xfId="9" applyFont="1" applyFill="1" applyBorder="1" applyAlignment="1">
      <alignment horizontal="center" vertical="center"/>
    </xf>
    <xf numFmtId="165" fontId="14" fillId="6" borderId="0" xfId="3" applyNumberFormat="1" applyFont="1" applyFill="1" applyAlignment="1">
      <alignment horizontal="center" vertical="center"/>
    </xf>
    <xf numFmtId="1" fontId="8" fillId="7" borderId="6" xfId="4" applyNumberFormat="1" applyFont="1" applyFill="1" applyBorder="1" applyAlignment="1">
      <alignment horizontal="center" vertical="center" wrapText="1"/>
    </xf>
    <xf numFmtId="10" fontId="8" fillId="7" borderId="6" xfId="10" applyNumberFormat="1" applyFont="1" applyFill="1" applyBorder="1" applyAlignment="1">
      <alignment horizontal="center" vertical="center"/>
    </xf>
    <xf numFmtId="165" fontId="14" fillId="7" borderId="6" xfId="3" applyNumberFormat="1" applyFont="1" applyFill="1" applyBorder="1" applyAlignment="1">
      <alignment horizontal="center" vertical="center"/>
    </xf>
    <xf numFmtId="0" fontId="14" fillId="6" borderId="6" xfId="4" applyFont="1" applyFill="1" applyBorder="1" applyAlignment="1">
      <alignment vertical="center"/>
    </xf>
    <xf numFmtId="0" fontId="8" fillId="6" borderId="6" xfId="4" applyFont="1" applyFill="1" applyBorder="1" applyAlignment="1">
      <alignment horizontal="center" vertical="center"/>
    </xf>
    <xf numFmtId="1" fontId="8" fillId="6" borderId="6" xfId="4" applyNumberFormat="1" applyFont="1" applyFill="1" applyBorder="1" applyAlignment="1">
      <alignment horizontal="center" vertical="center" wrapText="1"/>
    </xf>
    <xf numFmtId="10" fontId="8" fillId="6" borderId="6" xfId="3" applyNumberFormat="1" applyFont="1" applyFill="1" applyBorder="1" applyAlignment="1">
      <alignment horizontal="center" vertical="center"/>
    </xf>
    <xf numFmtId="165" fontId="14" fillId="6" borderId="6" xfId="3" applyNumberFormat="1" applyFont="1" applyFill="1" applyBorder="1" applyAlignment="1">
      <alignment horizontal="center" vertical="center"/>
    </xf>
    <xf numFmtId="1" fontId="8" fillId="6" borderId="6" xfId="3" applyNumberFormat="1" applyFont="1" applyFill="1" applyBorder="1" applyAlignment="1">
      <alignment horizontal="center" vertical="center"/>
    </xf>
    <xf numFmtId="0" fontId="15" fillId="6" borderId="6" xfId="9" applyFont="1" applyFill="1" applyBorder="1" applyAlignment="1">
      <alignment vertical="center"/>
    </xf>
    <xf numFmtId="0" fontId="15" fillId="6" borderId="6" xfId="9" applyFont="1" applyFill="1" applyBorder="1" applyAlignment="1">
      <alignment horizontal="center" vertical="center"/>
    </xf>
    <xf numFmtId="165" fontId="8" fillId="6" borderId="6" xfId="3" applyNumberFormat="1" applyFont="1" applyFill="1" applyBorder="1" applyAlignment="1">
      <alignment horizontal="center" vertical="center"/>
    </xf>
    <xf numFmtId="164" fontId="6" fillId="5" borderId="0" xfId="3" applyNumberFormat="1" applyFont="1" applyFill="1" applyAlignment="1">
      <alignment vertical="center"/>
    </xf>
    <xf numFmtId="0" fontId="0" fillId="0" borderId="0" xfId="3" applyFont="1" applyAlignment="1">
      <alignment vertical="center"/>
    </xf>
    <xf numFmtId="164" fontId="6" fillId="5" borderId="2" xfId="3" applyNumberFormat="1" applyFont="1" applyFill="1" applyBorder="1" applyAlignment="1">
      <alignment vertical="center"/>
    </xf>
    <xf numFmtId="40" fontId="6" fillId="5" borderId="0" xfId="3" applyNumberFormat="1" applyFont="1" applyFill="1" applyAlignment="1">
      <alignment horizontal="center" vertical="center"/>
    </xf>
    <xf numFmtId="43" fontId="15" fillId="9" borderId="0" xfId="11" applyFont="1" applyFill="1" applyBorder="1" applyAlignment="1">
      <alignment vertical="center"/>
    </xf>
    <xf numFmtId="0" fontId="11" fillId="0" borderId="0" xfId="3" applyFont="1" applyAlignment="1">
      <alignment horizontal="left"/>
    </xf>
    <xf numFmtId="0" fontId="6" fillId="5" borderId="14" xfId="3" applyFont="1" applyFill="1" applyBorder="1" applyAlignment="1">
      <alignment horizontal="left" vertical="center"/>
    </xf>
    <xf numFmtId="0" fontId="6" fillId="5" borderId="15" xfId="3" applyFont="1" applyFill="1" applyBorder="1" applyAlignment="1">
      <alignment horizontal="left" vertical="center"/>
    </xf>
    <xf numFmtId="0" fontId="6" fillId="5" borderId="16" xfId="3" applyFont="1" applyFill="1" applyBorder="1" applyAlignment="1">
      <alignment horizontal="left" vertical="center"/>
    </xf>
    <xf numFmtId="0" fontId="6" fillId="5" borderId="17" xfId="3" applyFont="1" applyFill="1" applyBorder="1" applyAlignment="1">
      <alignment horizontal="center" vertical="center"/>
    </xf>
    <xf numFmtId="10" fontId="6" fillId="5" borderId="17" xfId="3" applyNumberFormat="1" applyFont="1" applyFill="1" applyBorder="1" applyAlignment="1">
      <alignment horizontal="center" vertical="center"/>
    </xf>
    <xf numFmtId="40" fontId="6" fillId="5" borderId="18" xfId="3" applyNumberFormat="1" applyFont="1" applyFill="1" applyBorder="1" applyAlignment="1">
      <alignment horizontal="center" vertical="center"/>
    </xf>
    <xf numFmtId="1" fontId="15" fillId="0" borderId="6" xfId="3" applyNumberFormat="1" applyFont="1" applyBorder="1" applyAlignment="1">
      <alignment horizontal="center" vertical="center"/>
    </xf>
    <xf numFmtId="40" fontId="15" fillId="0" borderId="6" xfId="3" applyNumberFormat="1" applyFont="1" applyBorder="1" applyAlignment="1">
      <alignment horizontal="right" vertical="center"/>
    </xf>
    <xf numFmtId="10" fontId="15" fillId="10" borderId="6" xfId="3" applyNumberFormat="1" applyFont="1" applyFill="1" applyBorder="1" applyAlignment="1">
      <alignment horizontal="center" vertical="center"/>
    </xf>
    <xf numFmtId="43" fontId="15" fillId="9" borderId="6" xfId="11" applyFont="1" applyFill="1" applyBorder="1" applyAlignment="1">
      <alignment vertical="center"/>
    </xf>
    <xf numFmtId="1" fontId="15" fillId="0" borderId="22" xfId="3" applyNumberFormat="1" applyFont="1" applyBorder="1" applyAlignment="1">
      <alignment horizontal="center" vertical="center"/>
    </xf>
    <xf numFmtId="40" fontId="15" fillId="0" borderId="23" xfId="3" applyNumberFormat="1" applyFont="1" applyBorder="1" applyAlignment="1">
      <alignment horizontal="right" vertical="center"/>
    </xf>
    <xf numFmtId="10" fontId="15" fillId="10" borderId="23" xfId="3" applyNumberFormat="1" applyFont="1" applyFill="1" applyBorder="1" applyAlignment="1">
      <alignment horizontal="center" vertical="center"/>
    </xf>
    <xf numFmtId="43" fontId="15" fillId="9" borderId="23" xfId="11" applyFont="1" applyFill="1" applyBorder="1" applyAlignment="1">
      <alignment vertical="center"/>
    </xf>
    <xf numFmtId="165" fontId="8" fillId="8" borderId="0" xfId="3" applyNumberFormat="1" applyFont="1" applyFill="1" applyAlignment="1">
      <alignment vertical="center"/>
    </xf>
    <xf numFmtId="0" fontId="8" fillId="0" borderId="24" xfId="3" applyFont="1" applyBorder="1" applyAlignment="1">
      <alignment horizontal="center" vertical="center"/>
    </xf>
    <xf numFmtId="164" fontId="8" fillId="0" borderId="24" xfId="3" applyNumberFormat="1" applyFont="1" applyBorder="1" applyAlignment="1">
      <alignment horizontal="center" vertical="center" wrapText="1"/>
    </xf>
    <xf numFmtId="10" fontId="8" fillId="8" borderId="24" xfId="3" applyNumberFormat="1" applyFont="1" applyFill="1" applyBorder="1" applyAlignment="1">
      <alignment horizontal="center" vertical="center"/>
    </xf>
    <xf numFmtId="165" fontId="8" fillId="8" borderId="24" xfId="3" applyNumberFormat="1" applyFont="1" applyFill="1" applyBorder="1" applyAlignment="1">
      <alignment vertical="center"/>
    </xf>
    <xf numFmtId="165" fontId="14" fillId="0" borderId="0" xfId="10" applyNumberFormat="1" applyFont="1" applyAlignment="1">
      <alignment vertical="center"/>
    </xf>
    <xf numFmtId="0" fontId="11" fillId="0" borderId="0" xfId="10" applyFont="1" applyAlignment="1">
      <alignment horizontal="left"/>
    </xf>
    <xf numFmtId="0" fontId="11" fillId="0" borderId="0" xfId="10" applyFont="1" applyAlignment="1">
      <alignment horizontal="center"/>
    </xf>
    <xf numFmtId="0" fontId="8" fillId="8" borderId="6" xfId="10" applyFont="1" applyFill="1" applyBorder="1" applyAlignment="1">
      <alignment horizontal="center" vertical="center"/>
    </xf>
    <xf numFmtId="164" fontId="8" fillId="0" borderId="6" xfId="10" applyNumberFormat="1" applyFont="1" applyBorder="1" applyAlignment="1">
      <alignment horizontal="center" vertical="center" wrapText="1"/>
    </xf>
    <xf numFmtId="10" fontId="8" fillId="0" borderId="6" xfId="10" applyNumberFormat="1" applyFont="1" applyBorder="1" applyAlignment="1">
      <alignment horizontal="center" vertical="center"/>
    </xf>
    <xf numFmtId="165" fontId="14" fillId="0" borderId="6" xfId="10" applyNumberFormat="1" applyFont="1" applyBorder="1" applyAlignment="1">
      <alignment vertical="center"/>
    </xf>
    <xf numFmtId="164" fontId="6" fillId="5" borderId="30" xfId="3" applyNumberFormat="1" applyFont="1" applyFill="1" applyBorder="1" applyAlignment="1">
      <alignment vertical="center"/>
    </xf>
    <xf numFmtId="0" fontId="8" fillId="8" borderId="31" xfId="3" applyFont="1" applyFill="1" applyBorder="1" applyAlignment="1">
      <alignment vertical="center"/>
    </xf>
    <xf numFmtId="164" fontId="8" fillId="8" borderId="0" xfId="3" applyNumberFormat="1" applyFont="1" applyFill="1" applyAlignment="1">
      <alignment vertical="center"/>
    </xf>
    <xf numFmtId="164" fontId="11" fillId="0" borderId="0" xfId="5" applyFont="1" applyAlignment="1">
      <alignment horizontal="left" vertical="center"/>
    </xf>
    <xf numFmtId="0" fontId="6" fillId="5" borderId="34" xfId="3" applyFont="1" applyFill="1" applyBorder="1" applyAlignment="1">
      <alignment horizontal="center" vertical="center"/>
    </xf>
    <xf numFmtId="0" fontId="6" fillId="5" borderId="35" xfId="3" applyFont="1" applyFill="1" applyBorder="1" applyAlignment="1">
      <alignment horizontal="center" vertical="center"/>
    </xf>
    <xf numFmtId="1" fontId="8" fillId="8" borderId="39" xfId="3" applyNumberFormat="1" applyFont="1" applyFill="1" applyBorder="1" applyAlignment="1">
      <alignment horizontal="center" vertical="center"/>
    </xf>
    <xf numFmtId="164" fontId="8" fillId="9" borderId="39" xfId="3" applyNumberFormat="1" applyFont="1" applyFill="1" applyBorder="1" applyAlignment="1">
      <alignment horizontal="center" vertical="center"/>
    </xf>
    <xf numFmtId="10" fontId="8" fillId="8" borderId="39" xfId="3" applyNumberFormat="1" applyFont="1" applyFill="1" applyBorder="1" applyAlignment="1">
      <alignment horizontal="center" vertical="center"/>
    </xf>
    <xf numFmtId="164" fontId="8" fillId="8" borderId="40" xfId="3" applyNumberFormat="1" applyFont="1" applyFill="1" applyBorder="1" applyAlignment="1">
      <alignment vertical="center"/>
    </xf>
    <xf numFmtId="1" fontId="8" fillId="8" borderId="44" xfId="3" applyNumberFormat="1" applyFont="1" applyFill="1" applyBorder="1" applyAlignment="1">
      <alignment horizontal="center" vertical="center"/>
    </xf>
    <xf numFmtId="164" fontId="8" fillId="0" borderId="44" xfId="3" applyNumberFormat="1" applyFont="1" applyBorder="1" applyAlignment="1">
      <alignment horizontal="center" vertical="center"/>
    </xf>
    <xf numFmtId="10" fontId="8" fillId="8" borderId="44" xfId="3" applyNumberFormat="1" applyFont="1" applyFill="1" applyBorder="1" applyAlignment="1">
      <alignment horizontal="center" vertical="center"/>
    </xf>
    <xf numFmtId="164" fontId="8" fillId="8" borderId="45" xfId="3" applyNumberFormat="1" applyFont="1" applyFill="1" applyBorder="1" applyAlignment="1">
      <alignment vertical="center"/>
    </xf>
    <xf numFmtId="164" fontId="11" fillId="0" borderId="0" xfId="5" applyFont="1" applyAlignment="1">
      <alignment horizontal="center" vertical="center"/>
    </xf>
    <xf numFmtId="0" fontId="6" fillId="5" borderId="31" xfId="3" applyFont="1" applyFill="1" applyBorder="1" applyAlignment="1">
      <alignment horizontal="left" vertical="center"/>
    </xf>
    <xf numFmtId="0" fontId="6" fillId="5" borderId="32" xfId="3" applyFont="1" applyFill="1" applyBorder="1" applyAlignment="1">
      <alignment horizontal="left" vertical="center"/>
    </xf>
    <xf numFmtId="0" fontId="6" fillId="5" borderId="46" xfId="3" applyFont="1" applyFill="1" applyBorder="1" applyAlignment="1">
      <alignment horizontal="left" vertical="center"/>
    </xf>
    <xf numFmtId="0" fontId="6" fillId="5" borderId="18" xfId="3" applyFont="1" applyFill="1" applyBorder="1" applyAlignment="1">
      <alignment horizontal="center" vertical="center"/>
    </xf>
    <xf numFmtId="164" fontId="8" fillId="0" borderId="39" xfId="3" applyNumberFormat="1" applyFont="1" applyBorder="1" applyAlignment="1">
      <alignment horizontal="center" vertical="center"/>
    </xf>
    <xf numFmtId="164" fontId="8" fillId="8" borderId="0" xfId="3" applyNumberFormat="1" applyFont="1" applyFill="1" applyAlignment="1">
      <alignment horizontal="center" vertical="center"/>
    </xf>
    <xf numFmtId="0" fontId="6" fillId="5" borderId="46" xfId="3" applyFont="1" applyFill="1" applyBorder="1" applyAlignment="1">
      <alignment horizontal="center" vertical="center"/>
    </xf>
    <xf numFmtId="38" fontId="8" fillId="0" borderId="34" xfId="3" applyNumberFormat="1" applyFont="1" applyBorder="1" applyAlignment="1">
      <alignment horizontal="center" vertical="center"/>
    </xf>
    <xf numFmtId="164" fontId="8" fillId="0" borderId="34" xfId="3" applyNumberFormat="1" applyFont="1" applyBorder="1" applyAlignment="1">
      <alignment horizontal="center" vertical="center"/>
    </xf>
    <xf numFmtId="10" fontId="8" fillId="11" borderId="34" xfId="3" applyNumberFormat="1" applyFont="1" applyFill="1" applyBorder="1" applyAlignment="1">
      <alignment horizontal="center" vertical="center"/>
    </xf>
    <xf numFmtId="164" fontId="8" fillId="8" borderId="35" xfId="3" applyNumberFormat="1" applyFont="1" applyFill="1" applyBorder="1" applyAlignment="1">
      <alignment horizontal="center" vertical="center"/>
    </xf>
    <xf numFmtId="164" fontId="6" fillId="5" borderId="18" xfId="3" applyNumberFormat="1" applyFont="1" applyFill="1" applyBorder="1" applyAlignment="1">
      <alignment vertical="center"/>
    </xf>
    <xf numFmtId="10" fontId="6" fillId="5" borderId="34" xfId="3" applyNumberFormat="1" applyFont="1" applyFill="1" applyBorder="1" applyAlignment="1">
      <alignment horizontal="center" vertical="center"/>
    </xf>
    <xf numFmtId="40" fontId="6" fillId="5" borderId="35" xfId="3" applyNumberFormat="1" applyFont="1" applyFill="1" applyBorder="1" applyAlignment="1">
      <alignment horizontal="center" vertical="center"/>
    </xf>
    <xf numFmtId="165" fontId="14" fillId="0" borderId="0" xfId="3" applyNumberFormat="1" applyFont="1" applyAlignment="1">
      <alignment vertical="center"/>
    </xf>
    <xf numFmtId="0" fontId="8" fillId="8" borderId="6" xfId="3" applyFont="1" applyFill="1" applyBorder="1" applyAlignment="1">
      <alignment horizontal="center" vertical="center"/>
    </xf>
    <xf numFmtId="164" fontId="8" fillId="0" borderId="6" xfId="3" applyNumberFormat="1" applyFont="1" applyBorder="1" applyAlignment="1">
      <alignment horizontal="center" vertical="center" wrapText="1"/>
    </xf>
    <xf numFmtId="10" fontId="8" fillId="0" borderId="6" xfId="3" applyNumberFormat="1" applyFont="1" applyBorder="1" applyAlignment="1">
      <alignment horizontal="center" vertical="center"/>
    </xf>
    <xf numFmtId="165" fontId="14" fillId="0" borderId="6" xfId="3" applyNumberFormat="1" applyFont="1" applyBorder="1" applyAlignment="1">
      <alignment vertical="center"/>
    </xf>
    <xf numFmtId="0" fontId="8" fillId="0" borderId="6" xfId="3" applyFont="1" applyBorder="1" applyAlignment="1">
      <alignment horizontal="center" vertical="center"/>
    </xf>
    <xf numFmtId="40" fontId="6" fillId="5" borderId="33" xfId="3" applyNumberFormat="1" applyFont="1" applyFill="1" applyBorder="1" applyAlignment="1">
      <alignment horizontal="center" vertical="center"/>
    </xf>
    <xf numFmtId="10" fontId="8" fillId="0" borderId="47" xfId="4" applyNumberFormat="1" applyFont="1" applyBorder="1" applyAlignment="1">
      <alignment horizontal="center" vertical="center"/>
    </xf>
    <xf numFmtId="10" fontId="8" fillId="0" borderId="49" xfId="4" applyNumberFormat="1" applyFont="1" applyBorder="1" applyAlignment="1">
      <alignment horizontal="center" vertical="center"/>
    </xf>
    <xf numFmtId="164" fontId="8" fillId="8" borderId="50" xfId="3" applyNumberFormat="1" applyFont="1" applyFill="1" applyBorder="1" applyAlignment="1">
      <alignment vertical="center"/>
    </xf>
    <xf numFmtId="164" fontId="6" fillId="5" borderId="0" xfId="3" applyNumberFormat="1" applyFont="1" applyFill="1" applyAlignment="1">
      <alignment horizontal="center" vertical="center"/>
    </xf>
    <xf numFmtId="10" fontId="8" fillId="0" borderId="51" xfId="4" applyNumberFormat="1" applyFont="1" applyBorder="1" applyAlignment="1">
      <alignment horizontal="center" vertical="center"/>
    </xf>
    <xf numFmtId="164" fontId="6" fillId="5" borderId="30" xfId="3" applyNumberFormat="1" applyFont="1" applyFill="1" applyBorder="1" applyAlignment="1">
      <alignment horizontal="center" vertical="center"/>
    </xf>
    <xf numFmtId="40" fontId="6" fillId="5" borderId="32" xfId="3" applyNumberFormat="1" applyFont="1" applyFill="1" applyBorder="1" applyAlignment="1">
      <alignment horizontal="left" vertical="center"/>
    </xf>
    <xf numFmtId="40" fontId="6" fillId="5" borderId="46" xfId="3" applyNumberFormat="1" applyFont="1" applyFill="1" applyBorder="1" applyAlignment="1">
      <alignment horizontal="left" vertical="center"/>
    </xf>
    <xf numFmtId="10" fontId="8" fillId="8" borderId="2" xfId="3" applyNumberFormat="1" applyFont="1" applyFill="1" applyBorder="1" applyAlignment="1">
      <alignment horizontal="center" vertical="center"/>
    </xf>
    <xf numFmtId="164" fontId="8" fillId="8" borderId="33" xfId="3" applyNumberFormat="1" applyFont="1" applyFill="1" applyBorder="1" applyAlignment="1">
      <alignment vertical="center"/>
    </xf>
    <xf numFmtId="164" fontId="6" fillId="5" borderId="18" xfId="3" applyNumberFormat="1" applyFont="1" applyFill="1" applyBorder="1" applyAlignment="1">
      <alignment horizontal="center" vertical="center"/>
    </xf>
    <xf numFmtId="44" fontId="11" fillId="0" borderId="0" xfId="12" applyFont="1" applyBorder="1" applyAlignment="1">
      <alignment horizontal="center"/>
    </xf>
    <xf numFmtId="164" fontId="6" fillId="5" borderId="55" xfId="3" applyNumberFormat="1" applyFont="1" applyFill="1" applyBorder="1" applyAlignment="1">
      <alignment horizontal="center" vertical="center"/>
    </xf>
    <xf numFmtId="43" fontId="0" fillId="0" borderId="0" xfId="3" applyNumberFormat="1" applyFont="1"/>
    <xf numFmtId="4" fontId="17" fillId="0" borderId="0" xfId="3" applyNumberFormat="1" applyFont="1"/>
    <xf numFmtId="0" fontId="8" fillId="7" borderId="6" xfId="4" applyFont="1" applyFill="1" applyBorder="1" applyAlignment="1">
      <alignment horizontal="center" vertical="center"/>
    </xf>
    <xf numFmtId="0" fontId="14" fillId="7" borderId="6" xfId="3" applyFont="1" applyFill="1" applyBorder="1" applyAlignment="1">
      <alignment horizontal="center" vertical="center"/>
    </xf>
    <xf numFmtId="4" fontId="0" fillId="0" borderId="0" xfId="3" applyNumberFormat="1" applyFont="1" applyAlignment="1">
      <alignment vertical="center"/>
    </xf>
    <xf numFmtId="165" fontId="8" fillId="8" borderId="0" xfId="4" applyNumberFormat="1" applyFont="1" applyFill="1" applyAlignment="1">
      <alignment vertical="center"/>
    </xf>
    <xf numFmtId="2" fontId="11" fillId="0" borderId="0" xfId="3" applyNumberFormat="1" applyFont="1" applyAlignment="1">
      <alignment horizontal="center"/>
    </xf>
    <xf numFmtId="43" fontId="14" fillId="9" borderId="0" xfId="11" applyFont="1" applyFill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164" fontId="8" fillId="0" borderId="7" xfId="4" applyNumberFormat="1" applyFont="1" applyBorder="1" applyAlignment="1">
      <alignment horizontal="center" vertical="center" wrapText="1"/>
    </xf>
    <xf numFmtId="10" fontId="8" fillId="8" borderId="7" xfId="4" applyNumberFormat="1" applyFont="1" applyFill="1" applyBorder="1" applyAlignment="1">
      <alignment horizontal="center" vertical="center"/>
    </xf>
    <xf numFmtId="165" fontId="8" fillId="8" borderId="7" xfId="4" applyNumberFormat="1" applyFont="1" applyFill="1" applyBorder="1" applyAlignment="1">
      <alignment vertical="center"/>
    </xf>
    <xf numFmtId="1" fontId="14" fillId="0" borderId="7" xfId="4" applyNumberFormat="1" applyFont="1" applyBorder="1" applyAlignment="1">
      <alignment horizontal="center" vertical="center"/>
    </xf>
    <xf numFmtId="40" fontId="14" fillId="0" borderId="7" xfId="4" applyNumberFormat="1" applyFont="1" applyBorder="1" applyAlignment="1">
      <alignment horizontal="right" vertical="center"/>
    </xf>
    <xf numFmtId="10" fontId="14" fillId="10" borderId="7" xfId="4" applyNumberFormat="1" applyFont="1" applyFill="1" applyBorder="1" applyAlignment="1">
      <alignment horizontal="center" vertical="center"/>
    </xf>
    <xf numFmtId="43" fontId="14" fillId="9" borderId="7" xfId="11" applyFont="1" applyFill="1" applyBorder="1" applyAlignment="1">
      <alignment vertical="center"/>
    </xf>
    <xf numFmtId="43" fontId="11" fillId="0" borderId="0" xfId="3" applyNumberFormat="1" applyFont="1" applyAlignment="1">
      <alignment horizontal="left"/>
    </xf>
    <xf numFmtId="1" fontId="8" fillId="8" borderId="7" xfId="4" applyNumberFormat="1" applyFont="1" applyFill="1" applyBorder="1" applyAlignment="1">
      <alignment horizontal="center" vertical="center"/>
    </xf>
    <xf numFmtId="0" fontId="18" fillId="12" borderId="2" xfId="2" applyFont="1" applyFill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0" xfId="2" applyFont="1" applyAlignment="1">
      <alignment horizontal="center" vertical="center"/>
    </xf>
    <xf numFmtId="16" fontId="21" fillId="13" borderId="58" xfId="4" applyNumberFormat="1" applyFont="1" applyFill="1" applyBorder="1" applyAlignment="1">
      <alignment horizontal="center" vertical="center" textRotation="90" wrapText="1"/>
    </xf>
    <xf numFmtId="166" fontId="22" fillId="14" borderId="58" xfId="10" applyNumberFormat="1" applyFont="1" applyFill="1" applyBorder="1" applyAlignment="1">
      <alignment horizontal="center" vertical="center" wrapText="1"/>
    </xf>
    <xf numFmtId="0" fontId="22" fillId="14" borderId="58" xfId="10" applyFont="1" applyFill="1" applyBorder="1" applyAlignment="1">
      <alignment horizontal="left" vertical="center"/>
    </xf>
    <xf numFmtId="166" fontId="23" fillId="14" borderId="58" xfId="10" applyNumberFormat="1" applyFont="1" applyFill="1" applyBorder="1" applyAlignment="1">
      <alignment horizontal="center" vertical="center" wrapText="1"/>
    </xf>
    <xf numFmtId="0" fontId="24" fillId="0" borderId="0" xfId="10" applyFont="1"/>
    <xf numFmtId="0" fontId="25" fillId="8" borderId="58" xfId="10" applyFont="1" applyFill="1" applyBorder="1" applyAlignment="1">
      <alignment horizontal="center" vertical="center"/>
    </xf>
    <xf numFmtId="0" fontId="25" fillId="9" borderId="58" xfId="10" applyFont="1" applyFill="1" applyBorder="1" applyAlignment="1">
      <alignment horizontal="left" vertical="center" wrapText="1"/>
    </xf>
    <xf numFmtId="0" fontId="25" fillId="16" borderId="58" xfId="10" applyFont="1" applyFill="1" applyBorder="1" applyAlignment="1">
      <alignment horizontal="center" vertical="center"/>
    </xf>
    <xf numFmtId="0" fontId="25" fillId="17" borderId="58" xfId="10" applyFont="1" applyFill="1" applyBorder="1" applyAlignment="1">
      <alignment horizontal="center" vertical="center"/>
    </xf>
    <xf numFmtId="0" fontId="25" fillId="18" borderId="58" xfId="10" applyFont="1" applyFill="1" applyBorder="1" applyAlignment="1">
      <alignment horizontal="center" vertical="center"/>
    </xf>
    <xf numFmtId="0" fontId="26" fillId="19" borderId="58" xfId="10" applyFont="1" applyFill="1" applyBorder="1" applyAlignment="1">
      <alignment horizontal="center" vertical="center" wrapText="1"/>
    </xf>
    <xf numFmtId="0" fontId="26" fillId="20" borderId="58" xfId="10" applyFont="1" applyFill="1" applyBorder="1" applyAlignment="1">
      <alignment horizontal="center" vertical="center" wrapText="1"/>
    </xf>
    <xf numFmtId="0" fontId="25" fillId="0" borderId="58" xfId="13" applyFont="1" applyBorder="1" applyAlignment="1">
      <alignment horizontal="left" vertical="center" wrapText="1"/>
    </xf>
    <xf numFmtId="0" fontId="9" fillId="0" borderId="0" xfId="10" applyAlignment="1">
      <alignment wrapText="1"/>
    </xf>
    <xf numFmtId="49" fontId="25" fillId="8" borderId="58" xfId="10" applyNumberFormat="1" applyFont="1" applyFill="1" applyBorder="1" applyAlignment="1">
      <alignment horizontal="center" vertical="center"/>
    </xf>
    <xf numFmtId="0" fontId="27" fillId="0" borderId="0" xfId="10" applyFont="1"/>
    <xf numFmtId="49" fontId="25" fillId="19" borderId="58" xfId="10" applyNumberFormat="1" applyFont="1" applyFill="1" applyBorder="1" applyAlignment="1">
      <alignment horizontal="left" vertical="center" wrapText="1"/>
    </xf>
    <xf numFmtId="0" fontId="3" fillId="15" borderId="59" xfId="10" applyFont="1" applyFill="1" applyBorder="1" applyAlignment="1">
      <alignment horizontal="left" vertical="center"/>
    </xf>
    <xf numFmtId="0" fontId="3" fillId="15" borderId="58" xfId="10" applyFont="1" applyFill="1" applyBorder="1" applyAlignment="1">
      <alignment horizontal="left" vertical="center"/>
    </xf>
    <xf numFmtId="0" fontId="7" fillId="21" borderId="65" xfId="14" applyFont="1" applyFill="1" applyBorder="1" applyAlignment="1">
      <alignment horizontal="center" vertical="center" wrapText="1"/>
    </xf>
    <xf numFmtId="0" fontId="14" fillId="0" borderId="0" xfId="14" applyFont="1"/>
    <xf numFmtId="0" fontId="30" fillId="23" borderId="62" xfId="14" applyFont="1" applyFill="1" applyBorder="1" applyAlignment="1">
      <alignment horizontal="left" vertical="center"/>
    </xf>
    <xf numFmtId="0" fontId="30" fillId="23" borderId="62" xfId="14" applyFont="1" applyFill="1" applyBorder="1" applyAlignment="1">
      <alignment horizontal="center" vertical="center"/>
    </xf>
    <xf numFmtId="4" fontId="30" fillId="23" borderId="62" xfId="14" applyNumberFormat="1" applyFont="1" applyFill="1" applyBorder="1" applyAlignment="1">
      <alignment horizontal="right" vertical="center"/>
    </xf>
    <xf numFmtId="0" fontId="30" fillId="23" borderId="62" xfId="14" applyFont="1" applyFill="1" applyBorder="1" applyAlignment="1">
      <alignment horizontal="right" vertical="center"/>
    </xf>
    <xf numFmtId="10" fontId="30" fillId="23" borderId="62" xfId="14" applyNumberFormat="1" applyFont="1" applyFill="1" applyBorder="1" applyAlignment="1">
      <alignment horizontal="right" vertical="center"/>
    </xf>
    <xf numFmtId="0" fontId="7" fillId="21" borderId="17" xfId="14" applyFont="1" applyFill="1" applyBorder="1" applyAlignment="1">
      <alignment horizontal="center" vertical="center"/>
    </xf>
    <xf numFmtId="0" fontId="30" fillId="0" borderId="62" xfId="14" applyFont="1" applyBorder="1" applyAlignment="1">
      <alignment horizontal="left" vertical="center"/>
    </xf>
    <xf numFmtId="4" fontId="30" fillId="0" borderId="62" xfId="14" applyNumberFormat="1" applyFont="1" applyBorder="1" applyAlignment="1">
      <alignment horizontal="right" vertical="center"/>
    </xf>
    <xf numFmtId="10" fontId="30" fillId="0" borderId="62" xfId="14" applyNumberFormat="1" applyFont="1" applyBorder="1" applyAlignment="1">
      <alignment horizontal="right" vertical="center"/>
    </xf>
    <xf numFmtId="0" fontId="30" fillId="22" borderId="62" xfId="14" applyFont="1" applyFill="1" applyBorder="1" applyAlignment="1">
      <alignment horizontal="left" vertical="center"/>
    </xf>
    <xf numFmtId="0" fontId="30" fillId="22" borderId="62" xfId="14" applyFont="1" applyFill="1" applyBorder="1" applyAlignment="1">
      <alignment horizontal="center" vertical="center"/>
    </xf>
    <xf numFmtId="4" fontId="30" fillId="22" borderId="62" xfId="14" applyNumberFormat="1" applyFont="1" applyFill="1" applyBorder="1" applyAlignment="1">
      <alignment horizontal="right" vertical="center"/>
    </xf>
    <xf numFmtId="0" fontId="30" fillId="22" borderId="62" xfId="14" applyFont="1" applyFill="1" applyBorder="1" applyAlignment="1">
      <alignment horizontal="right" vertical="center"/>
    </xf>
    <xf numFmtId="10" fontId="30" fillId="22" borderId="62" xfId="14" applyNumberFormat="1" applyFont="1" applyFill="1" applyBorder="1" applyAlignment="1">
      <alignment horizontal="right" vertical="center"/>
    </xf>
    <xf numFmtId="0" fontId="31" fillId="23" borderId="63" xfId="14" applyFont="1" applyFill="1" applyBorder="1" applyAlignment="1">
      <alignment vertical="center"/>
    </xf>
    <xf numFmtId="4" fontId="31" fillId="23" borderId="63" xfId="14" applyNumberFormat="1" applyFont="1" applyFill="1" applyBorder="1" applyAlignment="1">
      <alignment vertical="center"/>
    </xf>
    <xf numFmtId="10" fontId="31" fillId="23" borderId="63" xfId="14" applyNumberFormat="1" applyFont="1" applyFill="1" applyBorder="1" applyAlignment="1">
      <alignment vertical="center"/>
    </xf>
    <xf numFmtId="0" fontId="7" fillId="21" borderId="17" xfId="14" applyFont="1" applyFill="1" applyBorder="1" applyAlignment="1">
      <alignment horizontal="left" vertical="center" wrapText="1"/>
    </xf>
    <xf numFmtId="0" fontId="7" fillId="21" borderId="17" xfId="14" applyFont="1" applyFill="1" applyBorder="1" applyAlignment="1">
      <alignment horizontal="right" vertical="center" wrapText="1"/>
    </xf>
    <xf numFmtId="4" fontId="7" fillId="21" borderId="17" xfId="14" applyNumberFormat="1" applyFont="1" applyFill="1" applyBorder="1" applyAlignment="1">
      <alignment horizontal="right" vertical="center" wrapText="1"/>
    </xf>
    <xf numFmtId="0" fontId="30" fillId="0" borderId="62" xfId="14" applyFont="1" applyBorder="1" applyAlignment="1">
      <alignment vertical="center"/>
    </xf>
    <xf numFmtId="4" fontId="30" fillId="0" borderId="62" xfId="14" applyNumberFormat="1" applyFont="1" applyBorder="1" applyAlignment="1">
      <alignment vertical="center"/>
    </xf>
    <xf numFmtId="0" fontId="30" fillId="0" borderId="62" xfId="14" applyFont="1" applyBorder="1" applyAlignment="1">
      <alignment horizontal="right" vertical="center"/>
    </xf>
    <xf numFmtId="10" fontId="7" fillId="21" borderId="17" xfId="14" applyNumberFormat="1" applyFont="1" applyFill="1" applyBorder="1" applyAlignment="1">
      <alignment horizontal="right" vertical="center" wrapText="1"/>
    </xf>
    <xf numFmtId="10" fontId="30" fillId="0" borderId="62" xfId="14" applyNumberFormat="1" applyFont="1" applyBorder="1" applyAlignment="1">
      <alignment vertical="center"/>
    </xf>
    <xf numFmtId="0" fontId="30" fillId="0" borderId="62" xfId="14" applyFont="1" applyBorder="1" applyAlignment="1">
      <alignment horizontal="center" vertical="center"/>
    </xf>
    <xf numFmtId="10" fontId="7" fillId="21" borderId="17" xfId="14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2" fillId="26" borderId="0" xfId="0" applyFont="1" applyFill="1" applyAlignment="1">
      <alignment horizontal="center" vertical="center" wrapText="1"/>
    </xf>
    <xf numFmtId="0" fontId="3" fillId="15" borderId="58" xfId="10" applyFont="1" applyFill="1" applyBorder="1" applyAlignment="1">
      <alignment vertical="center"/>
    </xf>
    <xf numFmtId="0" fontId="3" fillId="15" borderId="59" xfId="10" applyFont="1" applyFill="1" applyBorder="1" applyAlignment="1">
      <alignment vertical="center"/>
    </xf>
    <xf numFmtId="0" fontId="3" fillId="15" borderId="60" xfId="10" applyFont="1" applyFill="1" applyBorder="1" applyAlignment="1">
      <alignment vertical="center"/>
    </xf>
    <xf numFmtId="0" fontId="3" fillId="15" borderId="61" xfId="10" applyFont="1" applyFill="1" applyBorder="1" applyAlignment="1">
      <alignment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vertical="center"/>
    </xf>
    <xf numFmtId="40" fontId="8" fillId="0" borderId="6" xfId="2" applyNumberFormat="1" applyFont="1" applyBorder="1" applyAlignment="1">
      <alignment vertical="center"/>
    </xf>
    <xf numFmtId="4" fontId="8" fillId="0" borderId="6" xfId="2" applyNumberFormat="1" applyFont="1" applyBorder="1" applyAlignment="1">
      <alignment vertical="center"/>
    </xf>
    <xf numFmtId="10" fontId="8" fillId="0" borderId="0" xfId="2" applyNumberFormat="1" applyFont="1" applyAlignment="1">
      <alignment vertical="center"/>
    </xf>
    <xf numFmtId="164" fontId="6" fillId="12" borderId="2" xfId="5" applyFont="1" applyFill="1" applyBorder="1" applyAlignment="1">
      <alignment horizontal="center" vertical="center"/>
    </xf>
    <xf numFmtId="0" fontId="6" fillId="9" borderId="8" xfId="2" applyFont="1" applyFill="1" applyBorder="1" applyAlignment="1">
      <alignment horizontal="center" vertical="center"/>
    </xf>
    <xf numFmtId="0" fontId="6" fillId="9" borderId="10" xfId="2" applyFont="1" applyFill="1" applyBorder="1" applyAlignment="1">
      <alignment horizontal="center" vertical="center"/>
    </xf>
    <xf numFmtId="164" fontId="6" fillId="9" borderId="2" xfId="5" applyFont="1" applyFill="1" applyBorder="1" applyAlignment="1">
      <alignment horizontal="center" vertical="center"/>
    </xf>
    <xf numFmtId="164" fontId="6" fillId="9" borderId="0" xfId="5" applyFont="1" applyFill="1" applyBorder="1" applyAlignment="1">
      <alignment horizontal="center" vertical="center"/>
    </xf>
    <xf numFmtId="10" fontId="8" fillId="9" borderId="0" xfId="2" applyNumberFormat="1" applyFont="1" applyFill="1" applyAlignment="1">
      <alignment vertical="center"/>
    </xf>
    <xf numFmtId="0" fontId="6" fillId="12" borderId="2" xfId="2" applyFont="1" applyFill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8" fillId="0" borderId="5" xfId="2" applyFont="1" applyBorder="1" applyAlignment="1">
      <alignment horizontal="center" vertical="center"/>
    </xf>
    <xf numFmtId="0" fontId="8" fillId="9" borderId="6" xfId="2" applyFont="1" applyFill="1" applyBorder="1" applyAlignment="1">
      <alignment vertical="center"/>
    </xf>
    <xf numFmtId="9" fontId="8" fillId="9" borderId="0" xfId="6" applyFont="1" applyFill="1" applyAlignment="1">
      <alignment horizontal="center" vertical="center"/>
    </xf>
    <xf numFmtId="0" fontId="8" fillId="0" borderId="0" xfId="2" applyFont="1" applyAlignment="1">
      <alignment horizontal="center" vertical="center"/>
    </xf>
    <xf numFmtId="49" fontId="25" fillId="19" borderId="58" xfId="10" applyNumberFormat="1" applyFont="1" applyFill="1" applyBorder="1" applyAlignment="1">
      <alignment horizontal="left" vertical="center" wrapText="1"/>
    </xf>
    <xf numFmtId="0" fontId="10" fillId="7" borderId="58" xfId="10" applyFont="1" applyFill="1" applyBorder="1" applyAlignment="1">
      <alignment wrapText="1"/>
    </xf>
    <xf numFmtId="49" fontId="25" fillId="19" borderId="59" xfId="10" applyNumberFormat="1" applyFont="1" applyFill="1" applyBorder="1" applyAlignment="1">
      <alignment horizontal="left" vertical="center" wrapText="1"/>
    </xf>
    <xf numFmtId="49" fontId="25" fillId="19" borderId="61" xfId="10" applyNumberFormat="1" applyFont="1" applyFill="1" applyBorder="1" applyAlignment="1">
      <alignment horizontal="left" vertical="center" wrapText="1"/>
    </xf>
    <xf numFmtId="0" fontId="3" fillId="15" borderId="58" xfId="10" applyFont="1" applyFill="1" applyBorder="1" applyAlignment="1">
      <alignment horizontal="left" vertical="center"/>
    </xf>
    <xf numFmtId="49" fontId="25" fillId="19" borderId="58" xfId="10" applyNumberFormat="1" applyFont="1" applyFill="1" applyBorder="1" applyAlignment="1">
      <alignment horizontal="left" vertical="center"/>
    </xf>
    <xf numFmtId="0" fontId="10" fillId="7" borderId="58" xfId="10" applyFont="1" applyFill="1" applyBorder="1"/>
    <xf numFmtId="0" fontId="19" fillId="13" borderId="58" xfId="10" applyFont="1" applyFill="1" applyBorder="1" applyAlignment="1">
      <alignment horizontal="left" vertical="center" wrapText="1"/>
    </xf>
    <xf numFmtId="0" fontId="10" fillId="0" borderId="58" xfId="10" applyFont="1" applyBorder="1"/>
    <xf numFmtId="0" fontId="3" fillId="15" borderId="59" xfId="10" applyFont="1" applyFill="1" applyBorder="1" applyAlignment="1">
      <alignment vertical="center"/>
    </xf>
    <xf numFmtId="0" fontId="3" fillId="15" borderId="60" xfId="10" applyFont="1" applyFill="1" applyBorder="1" applyAlignment="1">
      <alignment vertical="center"/>
    </xf>
    <xf numFmtId="0" fontId="3" fillId="15" borderId="61" xfId="10" applyFont="1" applyFill="1" applyBorder="1" applyAlignment="1">
      <alignment vertical="center"/>
    </xf>
    <xf numFmtId="0" fontId="3" fillId="15" borderId="59" xfId="10" applyFont="1" applyFill="1" applyBorder="1" applyAlignment="1">
      <alignment horizontal="left" vertical="center"/>
    </xf>
    <xf numFmtId="0" fontId="3" fillId="15" borderId="60" xfId="10" applyFont="1" applyFill="1" applyBorder="1" applyAlignment="1">
      <alignment horizontal="left" vertical="center"/>
    </xf>
    <xf numFmtId="0" fontId="3" fillId="15" borderId="61" xfId="10" applyFont="1" applyFill="1" applyBorder="1" applyAlignment="1">
      <alignment horizontal="left" vertical="center"/>
    </xf>
    <xf numFmtId="0" fontId="20" fillId="13" borderId="59" xfId="10" applyFont="1" applyFill="1" applyBorder="1" applyAlignment="1">
      <alignment horizontal="center" vertical="center" wrapText="1"/>
    </xf>
    <xf numFmtId="0" fontId="20" fillId="13" borderId="60" xfId="10" applyFont="1" applyFill="1" applyBorder="1" applyAlignment="1">
      <alignment horizontal="center" vertical="center" wrapText="1"/>
    </xf>
    <xf numFmtId="0" fontId="20" fillId="13" borderId="61" xfId="1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15" fillId="0" borderId="19" xfId="4" applyFont="1" applyBorder="1" applyAlignment="1">
      <alignment horizontal="left" vertical="top"/>
    </xf>
    <xf numFmtId="0" fontId="15" fillId="0" borderId="20" xfId="4" applyFont="1" applyBorder="1" applyAlignment="1">
      <alignment horizontal="left" vertical="top"/>
    </xf>
    <xf numFmtId="0" fontId="15" fillId="0" borderId="21" xfId="4" applyFont="1" applyBorder="1" applyAlignment="1">
      <alignment horizontal="left" vertical="top"/>
    </xf>
    <xf numFmtId="0" fontId="6" fillId="5" borderId="14" xfId="3" applyFont="1" applyFill="1" applyBorder="1" applyAlignment="1">
      <alignment horizontal="left" vertical="center"/>
    </xf>
    <xf numFmtId="0" fontId="6" fillId="5" borderId="15" xfId="3" applyFont="1" applyFill="1" applyBorder="1" applyAlignment="1">
      <alignment horizontal="left" vertical="center"/>
    </xf>
    <xf numFmtId="0" fontId="6" fillId="5" borderId="16" xfId="3" applyFont="1" applyFill="1" applyBorder="1" applyAlignment="1">
      <alignment horizontal="left" vertical="center"/>
    </xf>
    <xf numFmtId="0" fontId="6" fillId="5" borderId="2" xfId="3" applyFont="1" applyFill="1" applyBorder="1" applyAlignment="1">
      <alignment horizontal="center" vertical="center" wrapText="1"/>
    </xf>
    <xf numFmtId="164" fontId="6" fillId="5" borderId="2" xfId="3" applyNumberFormat="1" applyFont="1" applyFill="1" applyBorder="1" applyAlignment="1">
      <alignment horizontal="center" vertical="center"/>
    </xf>
    <xf numFmtId="0" fontId="10" fillId="0" borderId="2" xfId="3" applyFont="1" applyBorder="1"/>
    <xf numFmtId="0" fontId="6" fillId="5" borderId="2" xfId="3" applyFont="1" applyFill="1" applyBorder="1" applyAlignment="1">
      <alignment horizontal="center" vertical="center"/>
    </xf>
    <xf numFmtId="0" fontId="10" fillId="0" borderId="2" xfId="3" applyFont="1" applyBorder="1" applyAlignment="1">
      <alignment wrapText="1"/>
    </xf>
    <xf numFmtId="0" fontId="6" fillId="5" borderId="8" xfId="3" applyFont="1" applyFill="1" applyBorder="1" applyAlignment="1">
      <alignment horizontal="right" vertical="center"/>
    </xf>
    <xf numFmtId="0" fontId="6" fillId="5" borderId="9" xfId="3" applyFont="1" applyFill="1" applyBorder="1" applyAlignment="1">
      <alignment horizontal="right" vertical="center"/>
    </xf>
    <xf numFmtId="0" fontId="6" fillId="5" borderId="10" xfId="3" applyFont="1" applyFill="1" applyBorder="1" applyAlignment="1">
      <alignment horizontal="right" vertical="center"/>
    </xf>
    <xf numFmtId="0" fontId="8" fillId="8" borderId="11" xfId="3" applyFont="1" applyFill="1" applyBorder="1" applyAlignment="1">
      <alignment vertical="center"/>
    </xf>
    <xf numFmtId="0" fontId="0" fillId="0" borderId="12" xfId="3" applyFont="1" applyBorder="1" applyAlignment="1">
      <alignment vertical="center"/>
    </xf>
    <xf numFmtId="0" fontId="0" fillId="0" borderId="13" xfId="3" applyFont="1" applyBorder="1" applyAlignment="1">
      <alignment vertical="center"/>
    </xf>
    <xf numFmtId="0" fontId="6" fillId="5" borderId="28" xfId="3" applyFont="1" applyFill="1" applyBorder="1" applyAlignment="1">
      <alignment horizontal="right" vertical="center"/>
    </xf>
    <xf numFmtId="0" fontId="0" fillId="0" borderId="1" xfId="3" applyFont="1" applyBorder="1" applyAlignment="1">
      <alignment horizontal="right" vertical="center"/>
    </xf>
    <xf numFmtId="0" fontId="0" fillId="0" borderId="29" xfId="3" applyFont="1" applyBorder="1" applyAlignment="1">
      <alignment horizontal="right" vertical="center"/>
    </xf>
    <xf numFmtId="0" fontId="16" fillId="0" borderId="25" xfId="4" applyFont="1" applyBorder="1" applyAlignment="1">
      <alignment horizontal="left"/>
    </xf>
    <xf numFmtId="0" fontId="16" fillId="0" borderId="26" xfId="4" applyFont="1" applyBorder="1" applyAlignment="1">
      <alignment horizontal="left"/>
    </xf>
    <xf numFmtId="0" fontId="16" fillId="0" borderId="27" xfId="4" applyFont="1" applyBorder="1" applyAlignment="1">
      <alignment horizontal="left"/>
    </xf>
    <xf numFmtId="0" fontId="8" fillId="8" borderId="31" xfId="3" applyFont="1" applyFill="1" applyBorder="1" applyAlignment="1">
      <alignment vertical="center"/>
    </xf>
    <xf numFmtId="0" fontId="0" fillId="0" borderId="32" xfId="3" applyFont="1" applyBorder="1" applyAlignment="1">
      <alignment vertical="center"/>
    </xf>
    <xf numFmtId="0" fontId="0" fillId="0" borderId="33" xfId="3" applyFont="1" applyBorder="1" applyAlignment="1">
      <alignment vertical="center"/>
    </xf>
    <xf numFmtId="0" fontId="8" fillId="8" borderId="36" xfId="3" applyFont="1" applyFill="1" applyBorder="1" applyAlignment="1">
      <alignment horizontal="left" vertical="center"/>
    </xf>
    <xf numFmtId="0" fontId="4" fillId="0" borderId="37" xfId="2" applyBorder="1" applyAlignment="1">
      <alignment horizontal="left" vertical="center"/>
    </xf>
    <xf numFmtId="0" fontId="4" fillId="0" borderId="38" xfId="2" applyBorder="1" applyAlignment="1">
      <alignment horizontal="left" vertical="center"/>
    </xf>
    <xf numFmtId="0" fontId="8" fillId="8" borderId="41" xfId="3" applyFont="1" applyFill="1" applyBorder="1" applyAlignment="1">
      <alignment horizontal="left" vertical="center"/>
    </xf>
    <xf numFmtId="0" fontId="4" fillId="0" borderId="42" xfId="2" applyBorder="1" applyAlignment="1">
      <alignment horizontal="left" vertical="center"/>
    </xf>
    <xf numFmtId="0" fontId="4" fillId="0" borderId="43" xfId="2" applyBorder="1" applyAlignment="1">
      <alignment horizontal="left" vertical="center"/>
    </xf>
    <xf numFmtId="0" fontId="8" fillId="0" borderId="14" xfId="3" applyFont="1" applyBorder="1" applyAlignment="1">
      <alignment horizontal="left" vertical="top" wrapText="1"/>
    </xf>
    <xf numFmtId="0" fontId="8" fillId="0" borderId="15" xfId="3" applyFont="1" applyBorder="1" applyAlignment="1">
      <alignment horizontal="left" vertical="top" wrapText="1"/>
    </xf>
    <xf numFmtId="0" fontId="8" fillId="0" borderId="16" xfId="3" applyFont="1" applyBorder="1" applyAlignment="1">
      <alignment horizontal="left" vertical="top" wrapText="1"/>
    </xf>
    <xf numFmtId="0" fontId="0" fillId="0" borderId="9" xfId="3" applyFont="1" applyBorder="1" applyAlignment="1">
      <alignment horizontal="right" vertical="center"/>
    </xf>
    <xf numFmtId="0" fontId="0" fillId="0" borderId="10" xfId="3" applyFont="1" applyBorder="1" applyAlignment="1">
      <alignment horizontal="right" vertical="center"/>
    </xf>
    <xf numFmtId="0" fontId="8" fillId="8" borderId="19" xfId="3" applyFont="1" applyFill="1" applyBorder="1" applyAlignment="1">
      <alignment vertical="center"/>
    </xf>
    <xf numFmtId="0" fontId="4" fillId="0" borderId="20" xfId="2" applyBorder="1" applyAlignment="1">
      <alignment vertical="center"/>
    </xf>
    <xf numFmtId="0" fontId="4" fillId="0" borderId="48" xfId="2" applyBorder="1" applyAlignment="1">
      <alignment vertical="center"/>
    </xf>
    <xf numFmtId="0" fontId="16" fillId="0" borderId="6" xfId="10" applyFont="1" applyBorder="1" applyAlignment="1">
      <alignment horizontal="left"/>
    </xf>
    <xf numFmtId="0" fontId="8" fillId="8" borderId="36" xfId="3" applyFont="1" applyFill="1" applyBorder="1" applyAlignment="1">
      <alignment vertical="center"/>
    </xf>
    <xf numFmtId="0" fontId="4" fillId="0" borderId="37" xfId="2" applyBorder="1" applyAlignment="1">
      <alignment vertical="center"/>
    </xf>
    <xf numFmtId="0" fontId="4" fillId="0" borderId="38" xfId="2" applyBorder="1" applyAlignment="1">
      <alignment vertical="center"/>
    </xf>
    <xf numFmtId="0" fontId="6" fillId="5" borderId="53" xfId="3" applyFont="1" applyFill="1" applyBorder="1" applyAlignment="1">
      <alignment horizontal="right" vertical="center"/>
    </xf>
    <xf numFmtId="0" fontId="0" fillId="0" borderId="52" xfId="3" applyFont="1" applyBorder="1" applyAlignment="1">
      <alignment horizontal="right" vertical="center"/>
    </xf>
    <xf numFmtId="0" fontId="0" fillId="0" borderId="54" xfId="3" applyFont="1" applyBorder="1" applyAlignment="1">
      <alignment horizontal="right" vertical="center"/>
    </xf>
    <xf numFmtId="0" fontId="8" fillId="8" borderId="41" xfId="3" applyFont="1" applyFill="1" applyBorder="1" applyAlignment="1">
      <alignment vertical="center"/>
    </xf>
    <xf numFmtId="0" fontId="4" fillId="0" borderId="42" xfId="2" applyBorder="1" applyAlignment="1">
      <alignment vertical="center"/>
    </xf>
    <xf numFmtId="0" fontId="4" fillId="0" borderId="43" xfId="2" applyBorder="1" applyAlignment="1">
      <alignment vertical="center"/>
    </xf>
    <xf numFmtId="0" fontId="8" fillId="8" borderId="52" xfId="3" applyFont="1" applyFill="1" applyBorder="1" applyAlignment="1">
      <alignment horizontal="center" vertical="center"/>
    </xf>
    <xf numFmtId="0" fontId="14" fillId="0" borderId="7" xfId="4" applyFont="1" applyBorder="1" applyAlignment="1">
      <alignment horizontal="left" vertical="top"/>
    </xf>
    <xf numFmtId="0" fontId="8" fillId="0" borderId="56" xfId="4" applyFont="1" applyBorder="1" applyAlignment="1">
      <alignment horizontal="left" vertical="center"/>
    </xf>
    <xf numFmtId="0" fontId="8" fillId="0" borderId="26" xfId="4" applyFont="1" applyBorder="1" applyAlignment="1">
      <alignment horizontal="left" vertical="center"/>
    </xf>
    <xf numFmtId="0" fontId="8" fillId="0" borderId="57" xfId="4" applyFont="1" applyBorder="1" applyAlignment="1">
      <alignment horizontal="left" vertical="center"/>
    </xf>
    <xf numFmtId="0" fontId="7" fillId="21" borderId="34" xfId="14" applyFont="1" applyFill="1" applyBorder="1" applyAlignment="1">
      <alignment horizontal="center" vertical="center" wrapText="1"/>
    </xf>
    <xf numFmtId="0" fontId="7" fillId="21" borderId="65" xfId="14" applyFont="1" applyFill="1" applyBorder="1" applyAlignment="1">
      <alignment horizontal="center" vertical="center" wrapText="1"/>
    </xf>
    <xf numFmtId="0" fontId="29" fillId="24" borderId="64" xfId="14" applyFont="1" applyFill="1" applyBorder="1" applyAlignment="1">
      <alignment vertical="center" wrapText="1"/>
    </xf>
    <xf numFmtId="0" fontId="7" fillId="21" borderId="62" xfId="14" applyFont="1" applyFill="1" applyBorder="1" applyAlignment="1">
      <alignment horizontal="center" vertical="center"/>
    </xf>
    <xf numFmtId="0" fontId="7" fillId="21" borderId="14" xfId="14" applyFont="1" applyFill="1" applyBorder="1" applyAlignment="1">
      <alignment horizontal="center" vertical="center" wrapText="1"/>
    </xf>
    <xf numFmtId="0" fontId="7" fillId="21" borderId="16" xfId="14" applyFont="1" applyFill="1" applyBorder="1" applyAlignment="1">
      <alignment horizontal="center" vertical="center" wrapText="1"/>
    </xf>
    <xf numFmtId="0" fontId="6" fillId="12" borderId="8" xfId="2" applyFont="1" applyFill="1" applyBorder="1" applyAlignment="1">
      <alignment horizontal="center" vertical="center"/>
    </xf>
    <xf numFmtId="0" fontId="6" fillId="12" borderId="10" xfId="2" applyFont="1" applyFill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</cellXfs>
  <cellStyles count="15">
    <cellStyle name="Moeda 2" xfId="12" xr:uid="{740DBE0D-763E-4E55-870C-5110D00E8890}"/>
    <cellStyle name="Normal" xfId="0" builtinId="0"/>
    <cellStyle name="Normal 2" xfId="2" xr:uid="{2435CA95-FFF4-4F81-BAD5-9FD3FDD083A9}"/>
    <cellStyle name="Normal 2 2" xfId="1" xr:uid="{B7D3C4B7-9D33-4B53-B99E-CE98F00E9199}"/>
    <cellStyle name="Normal 2 3" xfId="10" xr:uid="{E4CFCAAE-A7E3-4060-8A38-3C65B3A8FD21}"/>
    <cellStyle name="Normal 3" xfId="14" xr:uid="{AE4B9A67-A6F7-4C0A-B134-EBB58F49CB15}"/>
    <cellStyle name="Normal 3 3" xfId="9" xr:uid="{03F077C6-8E92-4A4C-B91A-4E377F4929A1}"/>
    <cellStyle name="Normal 3 4" xfId="8" xr:uid="{57A7627F-F3DE-4226-A631-A532078B7B47}"/>
    <cellStyle name="Normal 4" xfId="3" xr:uid="{3783E201-C62A-435A-92E5-85A82E50EA65}"/>
    <cellStyle name="Normal 4 2" xfId="4" xr:uid="{6E07236A-2B30-4526-9893-7CAF3885EA1B}"/>
    <cellStyle name="Normal 6 2" xfId="13" xr:uid="{C1F67394-FB90-451E-9C59-32D1C8B3296D}"/>
    <cellStyle name="Normal 7 2" xfId="7" xr:uid="{1A7A6EA2-B999-4F8E-A9B3-531F3191D310}"/>
    <cellStyle name="Porcentagem 3" xfId="6" xr:uid="{4FB090AC-A412-4EF5-890E-D0CBF85B3CA3}"/>
    <cellStyle name="Vírgula 2" xfId="5" xr:uid="{726397CE-ACE8-462F-A39E-4E3EC9D32B13}"/>
    <cellStyle name="Vírgula 4" xfId="11" xr:uid="{8F210E14-0063-465F-AE05-B46DC5B09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-Jura\Tabela%20de%20Consultoria\AVigente\02a%20%20-%20Tabela%20para%20Or&#231;amentos%20de%20Consultoria%20Mens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ubem%20PEN1\PEN%201\CONTROLE%20DE%20VELOCIDADE\Edital%20Novo\Tempor&#225;rio\LOTES\LOTE%200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ece957389bc3df5/Trabalho/OAE/Atualizado-08-2026/Base_Correta.xlsx" TargetMode="External"/><Relationship Id="rId1" Type="http://schemas.openxmlformats.org/officeDocument/2006/relationships/externalLinkPath" Target="Base_Corre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lter\AppData\Local\Packages\5319275A.WhatsAppDesktop_cv1g1gvanyjgm\LocalState\sessions\B93128098A683492F036BD23CDB5C5610E52364F\transfers\2026-33\TED2026-31CGPERT-Or&#231;amento&amp;Cronograma-F-20260408.xlsx" TargetMode="External"/><Relationship Id="rId1" Type="http://schemas.openxmlformats.org/officeDocument/2006/relationships/externalLinkPath" Target="file:///C:\Users\Valter\AppData\Local\Packages\5319275A.WhatsAppDesktop_cv1g1gvanyjgm\LocalState\sessions\B93128098A683492F036BD23CDB5C5610E52364F\transfers\2026-33\TED2026-31CGPERT-Or&#231;amento&amp;Cronograma-F-202604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. Consultoria-Jul-10"/>
      <sheetName val="Tab. Consultoria-Ago-10"/>
      <sheetName val="Tab. Consultoria-Set-10"/>
      <sheetName val="Tab. Consultoria Jan-11"/>
      <sheetName val="Tab. Consultoria-Mar-11"/>
      <sheetName val="Tab. Consultoria-Abr-11"/>
      <sheetName val="Tab. Consultoria-Set-11"/>
      <sheetName val="Tab. Consultoria-Out-11"/>
      <sheetName val="Tab. Consultoria-Dez-1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E 01_AV"/>
      <sheetName val="RO_AV"/>
      <sheetName val="MT_AV"/>
      <sheetName val="Lote 01_R"/>
      <sheetName val="AC_R"/>
      <sheetName val="RO_R"/>
      <sheetName val="MT_R"/>
      <sheetName val="Lote 01_BE"/>
      <sheetName val="AC_BE"/>
      <sheetName val="RO_BE"/>
      <sheetName val="MT_BE"/>
      <sheetName val="Resumo Proposta"/>
      <sheetName val="UF_BE+R+AV"/>
      <sheetName val="Resumo Estados"/>
      <sheetName val="RESUMO EQUP COMUNS"/>
      <sheetName val="Custos DNIT"/>
      <sheetName val="Custo Equip"/>
      <sheetName val="EQUIPAMENTO-DIS"/>
      <sheetName val="EQUIPAMENTO-MANUT"/>
      <sheetName val="Equipe Coordenação"/>
      <sheetName val="Equipe Projeto"/>
      <sheetName val="Processamento"/>
      <sheetName val="EQUIP QD"/>
      <sheetName val="Resumo"/>
      <sheetName val="Resumo Total"/>
      <sheetName val="CRONOGRAMA"/>
      <sheetName val="SICRO"/>
      <sheetName val="INFRA-ESTRUT REV2"/>
      <sheetName val="RESUMO INFRAESTRUTURA"/>
      <sheetName val="C VC COORD"/>
      <sheetName val="C V PROJ"/>
      <sheetName val="C V PROC"/>
      <sheetName val="Resumo Estados_R"/>
      <sheetName val="Custo Equip_R"/>
      <sheetName val="EQUIPAMENTO-DIS_R"/>
      <sheetName val="EQUIPAMENTO-MANUT_R"/>
      <sheetName val="EQUIP QD_R"/>
      <sheetName val="Resumo_R"/>
      <sheetName val="Resumo Total_R"/>
      <sheetName val="CRONOGRAMA_R"/>
      <sheetName val="SICRO_R"/>
      <sheetName val="INFRA-ESTRUT REV2_R"/>
      <sheetName val="RESUMO INFRAESTRUTURA_R"/>
      <sheetName val="Energia_R"/>
      <sheetName val="Resumo Estados_AV"/>
      <sheetName val="Custo Equip_AV"/>
      <sheetName val="EQUIPAMENTO-DIS_AV"/>
      <sheetName val="EQUIPAMENTO-MANUT_AV"/>
      <sheetName val="EQUIP QD_AV"/>
      <sheetName val="Resumo_AV"/>
      <sheetName val="Resumo Total_AV"/>
      <sheetName val="CRONOGRAMA_AV"/>
      <sheetName val="INFRA-ESTRUT REV2_AV"/>
      <sheetName val="RESUMO INFRAESTRUTURA_AV"/>
      <sheetName val="SICRO_AV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>
        <row r="6">
          <cell r="A6" t="str">
            <v>1.1.1</v>
          </cell>
          <cell r="B6" t="str">
            <v>2 S 03 000 02 - Escavação manual de cavas em material 1a cat</v>
          </cell>
          <cell r="C6" t="str">
            <v>m3</v>
          </cell>
          <cell r="G6">
            <v>52.61</v>
          </cell>
          <cell r="H6">
            <v>52.61</v>
          </cell>
          <cell r="J6">
            <v>52.61</v>
          </cell>
        </row>
        <row r="7">
          <cell r="A7" t="str">
            <v>1.3.1</v>
          </cell>
          <cell r="B7" t="str">
            <v>2 S 03 323 50 - Concr.estr.fck=15MPa-c.raz.uso ger.conf.lanç.AC/BC</v>
          </cell>
          <cell r="C7" t="str">
            <v>m3</v>
          </cell>
          <cell r="G7">
            <v>506.89</v>
          </cell>
          <cell r="H7">
            <v>417.44</v>
          </cell>
          <cell r="J7">
            <v>417.44</v>
          </cell>
        </row>
        <row r="8">
          <cell r="A8" t="str">
            <v>1.1.4</v>
          </cell>
          <cell r="B8" t="str">
            <v>2 S 03 325 50 - Concr.estr.fck=18MPa-c.raz.uso ger.conf.lanç.AC/BC</v>
          </cell>
          <cell r="C8" t="str">
            <v>m3</v>
          </cell>
          <cell r="G8">
            <v>521.37</v>
          </cell>
          <cell r="H8">
            <v>436.63</v>
          </cell>
          <cell r="J8">
            <v>436.63</v>
          </cell>
        </row>
        <row r="9">
          <cell r="A9" t="str">
            <v>1.1.2</v>
          </cell>
          <cell r="B9" t="str">
            <v>2 S 03 370 00 - Forma comum de madeira</v>
          </cell>
          <cell r="C9" t="str">
            <v>m2</v>
          </cell>
          <cell r="G9">
            <v>50.48</v>
          </cell>
          <cell r="H9">
            <v>51.02</v>
          </cell>
          <cell r="J9">
            <v>51.02</v>
          </cell>
        </row>
        <row r="10">
          <cell r="A10" t="str">
            <v>1.1.3</v>
          </cell>
          <cell r="B10" t="str">
            <v>2 S 03 580 02 - Fornecimento, preparo e colocação formas aço CA 50</v>
          </cell>
          <cell r="C10" t="str">
            <v>kg</v>
          </cell>
          <cell r="G10">
            <v>8.56</v>
          </cell>
          <cell r="H10">
            <v>12.73</v>
          </cell>
          <cell r="J10">
            <v>12.73</v>
          </cell>
        </row>
        <row r="11">
          <cell r="B11" t="str">
            <v>2 S 03 940 01 - Reaterro e compactação</v>
          </cell>
          <cell r="C11" t="str">
            <v>m3</v>
          </cell>
        </row>
        <row r="12">
          <cell r="B12" t="str">
            <v>3 S 08 403 00 - Renovação manual de sinalização horizontal</v>
          </cell>
          <cell r="C12" t="str">
            <v>m2</v>
          </cell>
        </row>
        <row r="13">
          <cell r="B13" t="str">
            <v>3 S 08 400 00 - Limpeza de placa de sinalização</v>
          </cell>
          <cell r="C13" t="str">
            <v>m2</v>
          </cell>
        </row>
        <row r="14">
          <cell r="B14" t="str">
            <v xml:space="preserve">4 S 06 010 01 - Defensa semi-maleável simples (forn./ impl.)  </v>
          </cell>
          <cell r="C14" t="str">
            <v>m</v>
          </cell>
          <cell r="G14">
            <v>221.15</v>
          </cell>
          <cell r="H14">
            <v>222.45</v>
          </cell>
          <cell r="J14">
            <v>222.45</v>
          </cell>
        </row>
        <row r="15">
          <cell r="B15" t="str">
            <v xml:space="preserve">4 S 06 010 02 - Ancoragem defensa semi-maleável simples (forn/imp)  </v>
          </cell>
          <cell r="C15" t="str">
            <v>m</v>
          </cell>
          <cell r="G15">
            <v>240.94</v>
          </cell>
          <cell r="H15">
            <v>242.15</v>
          </cell>
          <cell r="J15">
            <v>242.15</v>
          </cell>
        </row>
        <row r="16">
          <cell r="A16" t="str">
            <v>3.1.1</v>
          </cell>
          <cell r="B16" t="str">
            <v>4 S 06 110 01 - Pintura faixa c/termoplástico-3 anos (p/ aspersão)</v>
          </cell>
          <cell r="C16" t="str">
            <v>m2</v>
          </cell>
          <cell r="G16">
            <v>34.950000000000003</v>
          </cell>
          <cell r="H16">
            <v>33.520000000000003</v>
          </cell>
          <cell r="J16">
            <v>33.520000000000003</v>
          </cell>
        </row>
        <row r="17">
          <cell r="A17" t="str">
            <v>3.1.2</v>
          </cell>
          <cell r="B17" t="str">
            <v>4 S 06 110 02 - Pintura setas e zebrado term.-3 anos (p/ aspersão)</v>
          </cell>
          <cell r="C17" t="str">
            <v>m2</v>
          </cell>
          <cell r="G17">
            <v>45.63</v>
          </cell>
          <cell r="H17">
            <v>43.84</v>
          </cell>
          <cell r="J17">
            <v>43.84</v>
          </cell>
        </row>
        <row r="18">
          <cell r="A18" t="str">
            <v>3.1.3</v>
          </cell>
          <cell r="B18" t="str">
            <v xml:space="preserve">4 S 06 120 01 -  Forn. e colocação de tacha reflet. monodirecional  </v>
          </cell>
          <cell r="C18" t="str">
            <v>und</v>
          </cell>
          <cell r="G18">
            <v>11.13</v>
          </cell>
          <cell r="H18">
            <v>11.11</v>
          </cell>
          <cell r="J18">
            <v>11.11</v>
          </cell>
        </row>
        <row r="19">
          <cell r="A19" t="str">
            <v>3.1.5</v>
          </cell>
          <cell r="B19" t="str">
            <v xml:space="preserve">4 S 06 120 11 -  Forn. e colocação de tachão reflet. monodirecional  </v>
          </cell>
          <cell r="C19" t="str">
            <v>und</v>
          </cell>
          <cell r="G19">
            <v>27.72</v>
          </cell>
          <cell r="H19">
            <v>27.68</v>
          </cell>
          <cell r="J19">
            <v>27.68</v>
          </cell>
        </row>
        <row r="20">
          <cell r="A20" t="str">
            <v>3.1.4</v>
          </cell>
          <cell r="B20" t="str">
            <v xml:space="preserve">4 S 06 121 01 -  Forn. e colocação de tacha reflet. bidirecional  </v>
          </cell>
          <cell r="C20" t="str">
            <v>und</v>
          </cell>
          <cell r="G20">
            <v>11.73</v>
          </cell>
          <cell r="H20">
            <v>11.71</v>
          </cell>
          <cell r="J20">
            <v>11.71</v>
          </cell>
        </row>
        <row r="21">
          <cell r="A21" t="str">
            <v>3.1.6</v>
          </cell>
          <cell r="B21" t="str">
            <v xml:space="preserve">4 S 06 121 11 -  Forn. e colocação de tachão reflet. bidirecional  </v>
          </cell>
          <cell r="C21" t="str">
            <v>und</v>
          </cell>
          <cell r="G21">
            <v>28.92</v>
          </cell>
          <cell r="H21">
            <v>28.87</v>
          </cell>
          <cell r="J21">
            <v>28.87</v>
          </cell>
        </row>
        <row r="22">
          <cell r="A22" t="str">
            <v>3.2.1</v>
          </cell>
          <cell r="B22" t="str">
            <v>4 S 06 200 02 - Forn. e implantação placa sinaliz. tot. refletiva</v>
          </cell>
          <cell r="C22" t="str">
            <v>m2</v>
          </cell>
          <cell r="G22">
            <v>314.52999999999997</v>
          </cell>
          <cell r="H22">
            <v>299.47000000000003</v>
          </cell>
          <cell r="J22">
            <v>299.47000000000003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/>
      <sheetData sheetId="36"/>
      <sheetData sheetId="37"/>
      <sheetData sheetId="38" refreshError="1"/>
      <sheetData sheetId="39"/>
      <sheetData sheetId="40">
        <row r="6">
          <cell r="A6" t="str">
            <v>1.1.1</v>
          </cell>
          <cell r="B6" t="str">
            <v>2 S 03 000 02 - Escavação manual de cavas em material 1a cat</v>
          </cell>
          <cell r="C6" t="str">
            <v>m3</v>
          </cell>
          <cell r="G6">
            <v>52.61</v>
          </cell>
          <cell r="H6">
            <v>52.61</v>
          </cell>
          <cell r="J6">
            <v>52.61</v>
          </cell>
        </row>
        <row r="7">
          <cell r="B7" t="str">
            <v>2 S 03 323 50 - Concr.estr.fck=12MPa-c.raz.uso ger.conf.lanç.AC/BC</v>
          </cell>
          <cell r="C7" t="str">
            <v>m3</v>
          </cell>
          <cell r="G7">
            <v>506.89</v>
          </cell>
          <cell r="H7">
            <v>417.44</v>
          </cell>
          <cell r="J7">
            <v>417.44</v>
          </cell>
        </row>
        <row r="8">
          <cell r="A8" t="str">
            <v>1.1.3</v>
          </cell>
          <cell r="B8" t="str">
            <v>2 S 03 325 50 - Concr.estr.fck=18MPa-c.raz.uso ger.conf.lanç.AC/BC</v>
          </cell>
          <cell r="C8" t="str">
            <v>m3</v>
          </cell>
          <cell r="G8">
            <v>521.37</v>
          </cell>
          <cell r="H8">
            <v>436.63</v>
          </cell>
          <cell r="J8">
            <v>436.63</v>
          </cell>
        </row>
        <row r="9">
          <cell r="B9" t="str">
            <v>2 S 03 370 00 - Forma comum de madeira</v>
          </cell>
          <cell r="C9" t="str">
            <v>m2</v>
          </cell>
          <cell r="G9">
            <v>50.48</v>
          </cell>
          <cell r="H9">
            <v>51.02</v>
          </cell>
          <cell r="J9">
            <v>51.02</v>
          </cell>
        </row>
        <row r="10">
          <cell r="A10" t="str">
            <v>1.1.2</v>
          </cell>
          <cell r="B10" t="str">
            <v>2 S 03 580 02 - Fornecimento, preparo e colocação formas aço CA 50</v>
          </cell>
          <cell r="C10" t="str">
            <v>kg</v>
          </cell>
          <cell r="G10">
            <v>8.56</v>
          </cell>
          <cell r="H10">
            <v>12.73</v>
          </cell>
          <cell r="J10">
            <v>12.73</v>
          </cell>
        </row>
        <row r="11">
          <cell r="B11" t="str">
            <v>2 S 03 940 01 - Reaterro e compactação</v>
          </cell>
          <cell r="C11" t="str">
            <v>m3</v>
          </cell>
        </row>
        <row r="12">
          <cell r="B12" t="str">
            <v>3 S 08 403 00 - Renovação manual de sinalização horizontal</v>
          </cell>
          <cell r="C12" t="str">
            <v>m2</v>
          </cell>
        </row>
        <row r="13">
          <cell r="B13" t="str">
            <v>3 S 08 400 00 - Limpeza de placa de sinalização</v>
          </cell>
          <cell r="C13" t="str">
            <v>m2</v>
          </cell>
        </row>
        <row r="14">
          <cell r="A14" t="str">
            <v>1.3.1</v>
          </cell>
          <cell r="B14" t="str">
            <v xml:space="preserve">4 S 06 010 01 - Defensa semi-maleável simples (forn./ impl.)  </v>
          </cell>
          <cell r="C14" t="str">
            <v>m</v>
          </cell>
          <cell r="G14">
            <v>221.15</v>
          </cell>
          <cell r="H14">
            <v>222.45</v>
          </cell>
          <cell r="J14">
            <v>222.45</v>
          </cell>
        </row>
        <row r="15">
          <cell r="A15" t="str">
            <v>1.3.2</v>
          </cell>
          <cell r="B15" t="str">
            <v xml:space="preserve">4 S 06 010 02 - Ancoragem defensa semi-maleável simples (forn/imp)  </v>
          </cell>
          <cell r="C15" t="str">
            <v>m</v>
          </cell>
          <cell r="G15">
            <v>240.94</v>
          </cell>
          <cell r="H15">
            <v>242.15</v>
          </cell>
          <cell r="J15">
            <v>242.15</v>
          </cell>
        </row>
        <row r="16">
          <cell r="B16" t="str">
            <v>4 S 06 110 01 - Pintura faixa c/termoplástico-3 anos (p/ aspersão)</v>
          </cell>
          <cell r="C16" t="str">
            <v>m2</v>
          </cell>
          <cell r="G16">
            <v>34.950000000000003</v>
          </cell>
          <cell r="H16">
            <v>33.520000000000003</v>
          </cell>
          <cell r="J16">
            <v>33.520000000000003</v>
          </cell>
        </row>
        <row r="17">
          <cell r="B17" t="str">
            <v>4 S 06 110 02 - Pintura setas e zebrado term.-3 anos (p/ aspersão)</v>
          </cell>
          <cell r="C17" t="str">
            <v>m2</v>
          </cell>
          <cell r="G17">
            <v>45.63</v>
          </cell>
          <cell r="H17">
            <v>43.84</v>
          </cell>
          <cell r="J17">
            <v>43.84</v>
          </cell>
        </row>
        <row r="18">
          <cell r="B18" t="str">
            <v xml:space="preserve">4 S 06 120 01 -  Forn. e colocação de tacha reflet. monodirecional  </v>
          </cell>
          <cell r="C18" t="str">
            <v>und</v>
          </cell>
          <cell r="G18">
            <v>11.13</v>
          </cell>
          <cell r="H18">
            <v>11.11</v>
          </cell>
          <cell r="J18">
            <v>11.11</v>
          </cell>
        </row>
        <row r="19">
          <cell r="B19" t="str">
            <v xml:space="preserve">4 S 06 120 11 -  Forn. e colocação de tachão reflet. monodirecional  </v>
          </cell>
          <cell r="C19" t="str">
            <v>und</v>
          </cell>
          <cell r="G19">
            <v>27.72</v>
          </cell>
          <cell r="H19">
            <v>27.68</v>
          </cell>
          <cell r="J19">
            <v>27.68</v>
          </cell>
        </row>
        <row r="20">
          <cell r="B20" t="str">
            <v xml:space="preserve">4 S 06 121 01 -  Forn. e colocação de tacha reflet. bidirecional  </v>
          </cell>
          <cell r="C20" t="str">
            <v>und</v>
          </cell>
          <cell r="G20">
            <v>11.73</v>
          </cell>
          <cell r="H20">
            <v>11.71</v>
          </cell>
          <cell r="J20">
            <v>11.71</v>
          </cell>
        </row>
        <row r="21">
          <cell r="B21" t="str">
            <v xml:space="preserve">4 S 06 121 11 -  Forn. e colocação de tachão reflet. bidirecional  </v>
          </cell>
          <cell r="C21" t="str">
            <v>und</v>
          </cell>
          <cell r="G21">
            <v>28.92</v>
          </cell>
          <cell r="H21">
            <v>28.87</v>
          </cell>
          <cell r="J21">
            <v>28.87</v>
          </cell>
        </row>
        <row r="22">
          <cell r="A22" t="str">
            <v>3.1.1</v>
          </cell>
          <cell r="B22" t="str">
            <v>4 S 06 200 02 - Forn. e implantação placa sinaliz. tot. refletiva</v>
          </cell>
          <cell r="C22" t="str">
            <v>m2</v>
          </cell>
          <cell r="G22">
            <v>314.52999999999997</v>
          </cell>
          <cell r="H22">
            <v>299.47000000000003</v>
          </cell>
          <cell r="J22">
            <v>299.47000000000003</v>
          </cell>
        </row>
      </sheetData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6">
          <cell r="A6" t="str">
            <v>1.1.1</v>
          </cell>
          <cell r="B6" t="str">
            <v>2 S 03 000 02 - Escavação manual de cavas em material 1a cat</v>
          </cell>
          <cell r="C6" t="str">
            <v>m3</v>
          </cell>
          <cell r="G6">
            <v>52.61</v>
          </cell>
          <cell r="J6">
            <v>52.61</v>
          </cell>
        </row>
        <row r="7">
          <cell r="B7" t="str">
            <v>2 S 03 323 50 - Concr.estr.fck=15MPa-c.raz.uso ger.conf.lanç.AC/BC</v>
          </cell>
          <cell r="C7" t="str">
            <v>m3</v>
          </cell>
          <cell r="G7">
            <v>417.44</v>
          </cell>
          <cell r="J7">
            <v>417.44</v>
          </cell>
        </row>
        <row r="8">
          <cell r="A8" t="str">
            <v>1.1.3</v>
          </cell>
          <cell r="B8" t="str">
            <v>2 S 03 325 50 - Concr.estr.fck=18MPa-c.raz.uso ger.conf.lanç.AC/BC</v>
          </cell>
          <cell r="C8" t="str">
            <v>m3</v>
          </cell>
          <cell r="G8">
            <v>436.63</v>
          </cell>
          <cell r="J8">
            <v>436.63</v>
          </cell>
        </row>
        <row r="9">
          <cell r="B9" t="str">
            <v>2 S 03 370 00 - Forma comum de madeira</v>
          </cell>
          <cell r="C9" t="str">
            <v>m2</v>
          </cell>
          <cell r="G9">
            <v>51.02</v>
          </cell>
          <cell r="J9">
            <v>51.02</v>
          </cell>
        </row>
        <row r="10">
          <cell r="A10" t="str">
            <v>1.1.2</v>
          </cell>
          <cell r="B10" t="str">
            <v>2 S 03 580 02 - Fornecimento, preparo e colocação formas aço CA 50</v>
          </cell>
          <cell r="C10" t="str">
            <v>kg</v>
          </cell>
          <cell r="G10">
            <v>12.73</v>
          </cell>
          <cell r="J10">
            <v>12.73</v>
          </cell>
        </row>
        <row r="11">
          <cell r="B11" t="str">
            <v>2 S 03 940 01 - Reaterro e compactação</v>
          </cell>
          <cell r="C11" t="str">
            <v>m3</v>
          </cell>
        </row>
        <row r="12">
          <cell r="B12" t="str">
            <v>3 S 08 403 00 - Renovação manual de sinalização horizontal</v>
          </cell>
          <cell r="C12" t="str">
            <v>m2</v>
          </cell>
        </row>
        <row r="13">
          <cell r="B13" t="str">
            <v>3 S 08 400 00 - Limpeza de placa de sinalização</v>
          </cell>
          <cell r="C13" t="str">
            <v>m2</v>
          </cell>
        </row>
        <row r="14">
          <cell r="A14" t="str">
            <v>1.3.1</v>
          </cell>
          <cell r="B14" t="str">
            <v xml:space="preserve">4 S 06 010 01 - Defensa semi-maleável simples (forn./ impl.)  </v>
          </cell>
          <cell r="C14" t="str">
            <v>m</v>
          </cell>
          <cell r="G14">
            <v>222.45</v>
          </cell>
          <cell r="J14">
            <v>222.45</v>
          </cell>
        </row>
        <row r="15">
          <cell r="A15" t="str">
            <v>1.3.2</v>
          </cell>
          <cell r="B15" t="str">
            <v xml:space="preserve">4 S 06 010 02 - Ancoragem defensa semi-maleável simples (forn/imp)  </v>
          </cell>
          <cell r="C15" t="str">
            <v>m</v>
          </cell>
          <cell r="G15">
            <v>242.15</v>
          </cell>
          <cell r="J15">
            <v>242.15</v>
          </cell>
        </row>
        <row r="16">
          <cell r="B16" t="str">
            <v>4 S 06 110 01 - Pintura faixa c/termoplástico-3 anos (p/ aspersão)</v>
          </cell>
          <cell r="C16" t="str">
            <v>m2</v>
          </cell>
          <cell r="G16">
            <v>33.520000000000003</v>
          </cell>
          <cell r="J16">
            <v>33.520000000000003</v>
          </cell>
        </row>
        <row r="17">
          <cell r="A17" t="str">
            <v>3.1.1</v>
          </cell>
          <cell r="B17" t="str">
            <v>4 S 06 110 02 - Pintura setas e zebrado term.-3 anos (p/ aspersão)</v>
          </cell>
          <cell r="C17" t="str">
            <v>m2</v>
          </cell>
          <cell r="G17">
            <v>43.84</v>
          </cell>
          <cell r="J17">
            <v>43.84</v>
          </cell>
        </row>
        <row r="18">
          <cell r="B18" t="str">
            <v xml:space="preserve">4 S 06 120 01 -  Forn. e colocação de tacha reflet. monodirecional  </v>
          </cell>
          <cell r="C18" t="str">
            <v>und</v>
          </cell>
          <cell r="G18">
            <v>11.11</v>
          </cell>
          <cell r="J18">
            <v>11.11</v>
          </cell>
        </row>
        <row r="19">
          <cell r="A19" t="str">
            <v>3.1.2</v>
          </cell>
          <cell r="B19" t="str">
            <v xml:space="preserve">4 S 06 120 11 -  Forn. e colocação de tachão reflet. monodirecional  </v>
          </cell>
          <cell r="C19" t="str">
            <v>und</v>
          </cell>
          <cell r="G19">
            <v>27.68</v>
          </cell>
          <cell r="J19">
            <v>27.68</v>
          </cell>
        </row>
        <row r="20">
          <cell r="B20" t="str">
            <v xml:space="preserve">4 S 06 121 01 -  Forn. e colocação de tacha reflet. bidirecional  </v>
          </cell>
          <cell r="C20" t="str">
            <v>und</v>
          </cell>
          <cell r="G20">
            <v>11.71</v>
          </cell>
          <cell r="J20">
            <v>11.71</v>
          </cell>
        </row>
        <row r="21">
          <cell r="B21" t="str">
            <v xml:space="preserve">4 S 06 121 11 -  Forn. e colocação de tachão reflet. bidirecional  </v>
          </cell>
          <cell r="C21" t="str">
            <v>und</v>
          </cell>
          <cell r="G21">
            <v>28.87</v>
          </cell>
          <cell r="J21">
            <v>28.87</v>
          </cell>
        </row>
        <row r="22">
          <cell r="A22" t="str">
            <v>3.2.1</v>
          </cell>
          <cell r="B22" t="str">
            <v>4 S 06 200 02 - Forn. e implantação placa sinaliz. tot. refletiva</v>
          </cell>
          <cell r="C22" t="str">
            <v>m2</v>
          </cell>
          <cell r="G22">
            <v>299.47000000000003</v>
          </cell>
          <cell r="J22">
            <v>299.47000000000003</v>
          </cell>
        </row>
      </sheetData>
      <sheetData sheetId="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DNIT Julho 25"/>
      <sheetName val="Tabela Nova DNIT"/>
      <sheetName val="Ação 1 - TI - Luciano"/>
      <sheetName val="Cronograma Ação 1 - TI"/>
      <sheetName val="Cronograma Ação 2 - Pesagem"/>
      <sheetName val="Cronograma Acão 3 - Educação"/>
      <sheetName val="Ação 1-Metas A e B"/>
      <sheetName val="Ação 1-1A2 1A5Pesagem"/>
      <sheetName val="Ação 1- Meta C"/>
      <sheetName val="Ação 2 - Pesagem"/>
      <sheetName val="Ação 3- Educação"/>
      <sheetName val="Tabela DNIT Janeiro_2026"/>
      <sheetName val="Orçamento-Ação1"/>
      <sheetName val="Orçamento-Ação2"/>
      <sheetName val="Orçamento-Ação 1 a 3"/>
      <sheetName val="Consolidado"/>
      <sheetName val="Cronograma"/>
      <sheetName val="Consolidado_Desembolso"/>
      <sheetName val="Fisico Financeiro"/>
      <sheetName val="Parce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C3" t="str">
            <v>P8001</v>
          </cell>
          <cell r="D3">
            <v>5061.91</v>
          </cell>
        </row>
        <row r="4">
          <cell r="C4" t="str">
            <v>P8173</v>
          </cell>
          <cell r="D4">
            <v>3695.94</v>
          </cell>
        </row>
        <row r="5">
          <cell r="C5" t="str">
            <v>P8174</v>
          </cell>
          <cell r="D5">
            <v>4927.92</v>
          </cell>
        </row>
        <row r="6">
          <cell r="C6" t="str">
            <v>P8175</v>
          </cell>
          <cell r="D6">
            <v>8887.1</v>
          </cell>
        </row>
        <row r="7">
          <cell r="C7" t="str">
            <v>P8002</v>
          </cell>
          <cell r="D7">
            <v>6749.21</v>
          </cell>
        </row>
        <row r="8">
          <cell r="C8" t="str">
            <v>P8003</v>
          </cell>
          <cell r="D8">
            <v>11925.76</v>
          </cell>
        </row>
        <row r="9">
          <cell r="C9" t="str">
            <v>P8090</v>
          </cell>
          <cell r="D9">
            <v>1917.88</v>
          </cell>
        </row>
        <row r="10">
          <cell r="C10" t="str">
            <v>P8007</v>
          </cell>
          <cell r="D10">
            <v>4278.6499999999996</v>
          </cell>
        </row>
        <row r="11">
          <cell r="C11" t="str">
            <v>P8008</v>
          </cell>
          <cell r="D11">
            <v>5704.87</v>
          </cell>
        </row>
        <row r="12">
          <cell r="C12" t="str">
            <v>P8009</v>
          </cell>
          <cell r="D12">
            <v>10201.290000000001</v>
          </cell>
        </row>
        <row r="13">
          <cell r="C13" t="str">
            <v>P8186</v>
          </cell>
          <cell r="D13">
            <v>3523.08</v>
          </cell>
        </row>
        <row r="14">
          <cell r="C14" t="str">
            <v>P8187</v>
          </cell>
          <cell r="D14">
            <v>4697.4399999999996</v>
          </cell>
        </row>
        <row r="15">
          <cell r="C15" t="str">
            <v>P8188</v>
          </cell>
          <cell r="D15">
            <v>7747.73</v>
          </cell>
        </row>
        <row r="16">
          <cell r="C16" t="str">
            <v>P8189</v>
          </cell>
          <cell r="D16">
            <v>3046.73</v>
          </cell>
        </row>
        <row r="17">
          <cell r="C17" t="str">
            <v>P8190</v>
          </cell>
          <cell r="D17">
            <v>4062.31</v>
          </cell>
        </row>
        <row r="18">
          <cell r="C18" t="str">
            <v>P8191</v>
          </cell>
          <cell r="D18">
            <v>6119.03</v>
          </cell>
        </row>
        <row r="19">
          <cell r="C19" t="str">
            <v>P8013</v>
          </cell>
          <cell r="D19">
            <v>12443.57</v>
          </cell>
        </row>
        <row r="20">
          <cell r="C20" t="str">
            <v>P8014</v>
          </cell>
          <cell r="D20">
            <v>14700.71</v>
          </cell>
        </row>
        <row r="21">
          <cell r="C21" t="str">
            <v>P8015</v>
          </cell>
          <cell r="D21">
            <v>16957.849999999999</v>
          </cell>
        </row>
        <row r="22">
          <cell r="C22" t="str">
            <v>P8167</v>
          </cell>
          <cell r="D22">
            <v>2853.55</v>
          </cell>
        </row>
        <row r="23">
          <cell r="C23" t="str">
            <v>P8168</v>
          </cell>
          <cell r="D23">
            <v>3804.73</v>
          </cell>
        </row>
        <row r="24">
          <cell r="C24" t="str">
            <v>P8169</v>
          </cell>
          <cell r="D24">
            <v>6123.76</v>
          </cell>
        </row>
        <row r="25">
          <cell r="C25" t="str">
            <v>P8019</v>
          </cell>
          <cell r="D25">
            <v>3315.95</v>
          </cell>
        </row>
        <row r="26">
          <cell r="C26" t="str">
            <v>P8020</v>
          </cell>
          <cell r="D26">
            <v>4421.2700000000004</v>
          </cell>
        </row>
        <row r="27">
          <cell r="C27" t="str">
            <v>P8021</v>
          </cell>
          <cell r="D27">
            <v>7478.45</v>
          </cell>
        </row>
        <row r="28">
          <cell r="C28" t="str">
            <v>P8025</v>
          </cell>
          <cell r="D28">
            <v>1760.57</v>
          </cell>
        </row>
        <row r="29">
          <cell r="C29" t="str">
            <v>P8026</v>
          </cell>
          <cell r="D29">
            <v>2035.14</v>
          </cell>
        </row>
        <row r="30">
          <cell r="C30" t="str">
            <v>P8027</v>
          </cell>
          <cell r="D30">
            <v>1955.35</v>
          </cell>
        </row>
        <row r="31">
          <cell r="C31" t="str">
            <v>P8028</v>
          </cell>
          <cell r="D31">
            <v>1760.57</v>
          </cell>
        </row>
        <row r="32">
          <cell r="C32" t="str">
            <v>P8032</v>
          </cell>
          <cell r="D32">
            <v>3216.16</v>
          </cell>
        </row>
        <row r="33">
          <cell r="C33" t="str">
            <v>P8033</v>
          </cell>
          <cell r="D33">
            <v>4288.22</v>
          </cell>
        </row>
        <row r="34">
          <cell r="C34" t="str">
            <v>P8034</v>
          </cell>
          <cell r="D34">
            <v>7843.24</v>
          </cell>
        </row>
        <row r="35">
          <cell r="C35" t="str">
            <v>P8038</v>
          </cell>
          <cell r="D35">
            <v>4071.44</v>
          </cell>
        </row>
        <row r="36">
          <cell r="C36" t="str">
            <v>P8040</v>
          </cell>
          <cell r="D36">
            <v>4556.01</v>
          </cell>
        </row>
        <row r="37">
          <cell r="C37" t="str">
            <v>P8041</v>
          </cell>
          <cell r="D37">
            <v>6074.69</v>
          </cell>
        </row>
        <row r="38">
          <cell r="C38" t="str">
            <v>P8042</v>
          </cell>
          <cell r="D38">
            <v>11579.5</v>
          </cell>
        </row>
        <row r="39">
          <cell r="C39" t="str">
            <v>P8044</v>
          </cell>
          <cell r="D39">
            <v>23174.69</v>
          </cell>
        </row>
        <row r="40">
          <cell r="C40" t="str">
            <v>P8178</v>
          </cell>
          <cell r="D40">
            <v>3209</v>
          </cell>
        </row>
        <row r="41">
          <cell r="C41" t="str">
            <v>P8045</v>
          </cell>
          <cell r="D41">
            <v>4725.34</v>
          </cell>
        </row>
        <row r="42">
          <cell r="C42" t="str">
            <v>P8046</v>
          </cell>
          <cell r="D42">
            <v>6300.46</v>
          </cell>
        </row>
        <row r="43">
          <cell r="C43" t="str">
            <v>P8047</v>
          </cell>
          <cell r="D43">
            <v>9350.58</v>
          </cell>
        </row>
        <row r="44">
          <cell r="C44" t="str">
            <v>P8180</v>
          </cell>
          <cell r="D44">
            <v>12443.57</v>
          </cell>
        </row>
        <row r="45">
          <cell r="C45" t="str">
            <v>P8181</v>
          </cell>
          <cell r="D45">
            <v>14336.79</v>
          </cell>
        </row>
        <row r="46">
          <cell r="C46" t="str">
            <v>P8182</v>
          </cell>
          <cell r="D46">
            <v>16230</v>
          </cell>
        </row>
        <row r="47">
          <cell r="C47" t="str">
            <v>P8054</v>
          </cell>
          <cell r="D47">
            <v>12443.57</v>
          </cell>
        </row>
        <row r="48">
          <cell r="C48" t="str">
            <v>P8055</v>
          </cell>
          <cell r="D48">
            <v>14397.92</v>
          </cell>
        </row>
        <row r="49">
          <cell r="C49" t="str">
            <v>P8056</v>
          </cell>
          <cell r="D49">
            <v>16352.28</v>
          </cell>
        </row>
        <row r="50">
          <cell r="C50" t="str">
            <v>P8057</v>
          </cell>
          <cell r="D50">
            <v>12443.57</v>
          </cell>
        </row>
        <row r="51">
          <cell r="C51" t="str">
            <v>P8058</v>
          </cell>
          <cell r="D51">
            <v>15288.56</v>
          </cell>
        </row>
        <row r="52">
          <cell r="C52" t="str">
            <v>P8059</v>
          </cell>
          <cell r="D52">
            <v>18133.55</v>
          </cell>
        </row>
        <row r="53">
          <cell r="C53" t="str">
            <v>P8060</v>
          </cell>
          <cell r="D53">
            <v>23765.17</v>
          </cell>
        </row>
        <row r="54">
          <cell r="C54" t="str">
            <v>P8061</v>
          </cell>
          <cell r="D54">
            <v>19804.310000000001</v>
          </cell>
        </row>
        <row r="55">
          <cell r="C55" t="str">
            <v>P8062</v>
          </cell>
          <cell r="D55">
            <v>12443.57</v>
          </cell>
        </row>
        <row r="56">
          <cell r="C56" t="str">
            <v>P8063</v>
          </cell>
          <cell r="D56">
            <v>14680.81</v>
          </cell>
        </row>
        <row r="57">
          <cell r="C57" t="str">
            <v>P8064</v>
          </cell>
          <cell r="D57">
            <v>16918.04</v>
          </cell>
        </row>
        <row r="58">
          <cell r="C58" t="str">
            <v>P8065</v>
          </cell>
          <cell r="D58">
            <v>12443.57</v>
          </cell>
        </row>
        <row r="59">
          <cell r="C59" t="str">
            <v>P8066</v>
          </cell>
          <cell r="D59">
            <v>14859.07</v>
          </cell>
        </row>
        <row r="60">
          <cell r="C60" t="str">
            <v>P8067</v>
          </cell>
          <cell r="D60">
            <v>17274.580000000002</v>
          </cell>
        </row>
        <row r="61">
          <cell r="C61" t="str">
            <v>P8068</v>
          </cell>
          <cell r="D61">
            <v>12443.57</v>
          </cell>
        </row>
        <row r="62">
          <cell r="C62" t="str">
            <v>P8069</v>
          </cell>
          <cell r="D62">
            <v>14680.81</v>
          </cell>
        </row>
        <row r="63">
          <cell r="C63" t="str">
            <v>P8070</v>
          </cell>
          <cell r="D63">
            <v>16918.04</v>
          </cell>
        </row>
        <row r="64">
          <cell r="C64" t="str">
            <v>P8183</v>
          </cell>
          <cell r="D64">
            <v>4156.42</v>
          </cell>
        </row>
        <row r="65">
          <cell r="C65" t="str">
            <v>P8184</v>
          </cell>
          <cell r="D65">
            <v>5541.89</v>
          </cell>
        </row>
        <row r="66">
          <cell r="C66" t="str">
            <v>P8185</v>
          </cell>
          <cell r="D66">
            <v>10902.26</v>
          </cell>
        </row>
        <row r="67">
          <cell r="C67" t="str">
            <v>P8080</v>
          </cell>
          <cell r="D67">
            <v>11984.56</v>
          </cell>
        </row>
        <row r="68">
          <cell r="C68" t="str">
            <v>P8081</v>
          </cell>
          <cell r="D68">
            <v>14394.96</v>
          </cell>
        </row>
        <row r="69">
          <cell r="C69" t="str">
            <v>P8082</v>
          </cell>
          <cell r="D69">
            <v>16805.36</v>
          </cell>
        </row>
        <row r="70">
          <cell r="C70" t="str">
            <v>P8192</v>
          </cell>
          <cell r="D70">
            <v>4522.28</v>
          </cell>
        </row>
        <row r="71">
          <cell r="C71" t="str">
            <v>P8193</v>
          </cell>
          <cell r="D71">
            <v>6029.7</v>
          </cell>
        </row>
        <row r="72">
          <cell r="C72" t="str">
            <v>P8194</v>
          </cell>
          <cell r="D72">
            <v>10018.959999999999</v>
          </cell>
        </row>
        <row r="73">
          <cell r="C73" t="str">
            <v>P8092</v>
          </cell>
          <cell r="D73">
            <v>3381.71</v>
          </cell>
        </row>
        <row r="74">
          <cell r="C74" t="str">
            <v>P8093</v>
          </cell>
          <cell r="D74">
            <v>4508.95</v>
          </cell>
        </row>
        <row r="75">
          <cell r="C75" t="str">
            <v>P8094</v>
          </cell>
          <cell r="D75">
            <v>8458.7800000000007</v>
          </cell>
        </row>
        <row r="76">
          <cell r="C76" t="str">
            <v>P8098</v>
          </cell>
          <cell r="D76">
            <v>2607.13</v>
          </cell>
        </row>
        <row r="77">
          <cell r="C77" t="str">
            <v>P8102</v>
          </cell>
          <cell r="D77">
            <v>12443.57</v>
          </cell>
        </row>
        <row r="78">
          <cell r="C78" t="str">
            <v>P8106</v>
          </cell>
          <cell r="D78">
            <v>5571.47</v>
          </cell>
        </row>
        <row r="79">
          <cell r="C79" t="str">
            <v>P8107</v>
          </cell>
          <cell r="D79">
            <v>7428.63</v>
          </cell>
        </row>
        <row r="80">
          <cell r="C80" t="str">
            <v>P8108</v>
          </cell>
          <cell r="D80">
            <v>12127.97</v>
          </cell>
        </row>
        <row r="81">
          <cell r="C81" t="str">
            <v>P8112</v>
          </cell>
          <cell r="D81">
            <v>2632.13</v>
          </cell>
        </row>
        <row r="82">
          <cell r="C82" t="str">
            <v>P8113</v>
          </cell>
          <cell r="D82">
            <v>2275.2800000000002</v>
          </cell>
        </row>
        <row r="83">
          <cell r="C83" t="str">
            <v>P8117</v>
          </cell>
          <cell r="D83">
            <v>4558.17</v>
          </cell>
        </row>
        <row r="84">
          <cell r="C84" t="str">
            <v>P8118</v>
          </cell>
          <cell r="D84">
            <v>6077.57</v>
          </cell>
        </row>
        <row r="85">
          <cell r="C85" t="str">
            <v>P8119</v>
          </cell>
          <cell r="D85">
            <v>11759</v>
          </cell>
        </row>
        <row r="86">
          <cell r="C86" t="str">
            <v>P8195</v>
          </cell>
          <cell r="D86">
            <v>3523.08</v>
          </cell>
        </row>
        <row r="87">
          <cell r="C87" t="str">
            <v>P8196</v>
          </cell>
          <cell r="D87">
            <v>4697.4399999999996</v>
          </cell>
        </row>
        <row r="88">
          <cell r="C88" t="str">
            <v>P8197</v>
          </cell>
          <cell r="D88">
            <v>7747.73</v>
          </cell>
        </row>
        <row r="89">
          <cell r="C89" t="str">
            <v>P8129</v>
          </cell>
          <cell r="D89">
            <v>2421.62</v>
          </cell>
        </row>
        <row r="90">
          <cell r="C90" t="str">
            <v>P8130</v>
          </cell>
          <cell r="D90">
            <v>3228.83</v>
          </cell>
        </row>
        <row r="91">
          <cell r="C91" t="str">
            <v>P8131</v>
          </cell>
          <cell r="D91">
            <v>4110.7299999999996</v>
          </cell>
        </row>
        <row r="92">
          <cell r="C92" t="str">
            <v>P8135</v>
          </cell>
          <cell r="D92">
            <v>3036.94</v>
          </cell>
        </row>
        <row r="93">
          <cell r="C93" t="str">
            <v>P8198</v>
          </cell>
          <cell r="D93">
            <v>4594.41</v>
          </cell>
        </row>
        <row r="94">
          <cell r="C94" t="str">
            <v>P8199</v>
          </cell>
          <cell r="D94">
            <v>6125.87</v>
          </cell>
        </row>
        <row r="95">
          <cell r="C95" t="str">
            <v>P8200</v>
          </cell>
          <cell r="D95">
            <v>9815.33</v>
          </cell>
        </row>
        <row r="96">
          <cell r="C96" t="str">
            <v>P8139</v>
          </cell>
          <cell r="D96">
            <v>2312.5500000000002</v>
          </cell>
        </row>
        <row r="97">
          <cell r="C97" t="str">
            <v>P8143</v>
          </cell>
          <cell r="D97">
            <v>3109.33</v>
          </cell>
        </row>
        <row r="98">
          <cell r="C98" t="str">
            <v>P8147</v>
          </cell>
          <cell r="D98">
            <v>3396.84</v>
          </cell>
        </row>
        <row r="99">
          <cell r="C99" t="str">
            <v>P8151</v>
          </cell>
          <cell r="D99">
            <v>4601.83</v>
          </cell>
        </row>
        <row r="100">
          <cell r="C100" t="str">
            <v>P8155</v>
          </cell>
          <cell r="D100">
            <v>3003.73</v>
          </cell>
        </row>
        <row r="101">
          <cell r="C101" t="str">
            <v>P8163</v>
          </cell>
          <cell r="D101">
            <v>2701.65</v>
          </cell>
        </row>
        <row r="102">
          <cell r="C102" t="str">
            <v>BC</v>
          </cell>
          <cell r="D102">
            <v>5000</v>
          </cell>
        </row>
        <row r="103">
          <cell r="C103" t="str">
            <v>BP</v>
          </cell>
          <cell r="D103">
            <v>3000</v>
          </cell>
        </row>
        <row r="104">
          <cell r="C104" t="str">
            <v>PRPA</v>
          </cell>
          <cell r="D104">
            <v>3680</v>
          </cell>
        </row>
        <row r="105">
          <cell r="C105" t="str">
            <v>BD30</v>
          </cell>
          <cell r="D105">
            <v>4850</v>
          </cell>
        </row>
        <row r="106">
          <cell r="C106" t="str">
            <v>BD20</v>
          </cell>
          <cell r="D106">
            <v>3200</v>
          </cell>
        </row>
        <row r="107">
          <cell r="C107" t="str">
            <v>BM30</v>
          </cell>
          <cell r="D107">
            <v>3350</v>
          </cell>
        </row>
        <row r="108">
          <cell r="C108" t="str">
            <v>BM20</v>
          </cell>
          <cell r="D108">
            <v>2200</v>
          </cell>
        </row>
        <row r="109">
          <cell r="C109" t="str">
            <v>BG30</v>
          </cell>
          <cell r="D109">
            <v>1625</v>
          </cell>
        </row>
        <row r="110">
          <cell r="C110" t="str">
            <v>BG20</v>
          </cell>
          <cell r="D110">
            <v>1050</v>
          </cell>
        </row>
      </sheetData>
      <sheetData sheetId="12">
        <row r="20">
          <cell r="J20">
            <v>4970099.5673194164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DNIT Janeiro_2026"/>
      <sheetName val="Ação 1 TI SIOR - Cronograma "/>
      <sheetName val="Ação 1 TI SIOR - Orçamento "/>
      <sheetName val="TI SIOR Serviços e equipamentos"/>
      <sheetName val=" Ação 1 TI Conexão - Cronograma"/>
      <sheetName val="Ação 1 TI Conexão - Orçamento"/>
      <sheetName val="TI Conexão Serv &amp; Equipamentos"/>
      <sheetName val="Ação 1 PRISMA - Cronograma "/>
      <sheetName val="Ação 1 PRISMA - Orçamento "/>
      <sheetName val="PRISMA - Serv &amp; equipamentos"/>
      <sheetName val="Ação 2 - Educação - Cronograma"/>
      <sheetName val="Ação 2- Educação - Orçamento "/>
      <sheetName val="Ação 2 - Serv &amp; Equipamentos"/>
      <sheetName val="Ação 3  Pesagem - Cronograma "/>
      <sheetName val="Ação 3  Pesagem - Orçamento "/>
      <sheetName val="Pesagem Serv &amp; Equipamentos"/>
      <sheetName val="Ação 4 Seg Viária - Cronograma"/>
      <sheetName val="Ação 4 Seg Viária - Orçamento"/>
      <sheetName val="Seg. Viaria Serv&amp;Equipamentos"/>
      <sheetName val="Parcelas"/>
      <sheetName val="Fisico Financeiro"/>
      <sheetName val="Desembolso"/>
      <sheetName val="Consolidado_Desembolso"/>
      <sheetName val="PAD"/>
    </sheetNames>
    <sheetDataSet>
      <sheetData sheetId="0">
        <row r="3">
          <cell r="C3" t="str">
            <v>P8001</v>
          </cell>
          <cell r="D3">
            <v>5061.91</v>
          </cell>
        </row>
        <row r="4">
          <cell r="C4" t="str">
            <v>P8173</v>
          </cell>
          <cell r="D4">
            <v>3695.94</v>
          </cell>
        </row>
        <row r="5">
          <cell r="C5" t="str">
            <v>P8174</v>
          </cell>
          <cell r="D5">
            <v>4927.92</v>
          </cell>
        </row>
        <row r="6">
          <cell r="C6" t="str">
            <v>P8175</v>
          </cell>
          <cell r="D6">
            <v>8887.1</v>
          </cell>
        </row>
        <row r="7">
          <cell r="C7" t="str">
            <v>P8002</v>
          </cell>
          <cell r="D7">
            <v>6749.21</v>
          </cell>
        </row>
        <row r="8">
          <cell r="C8" t="str">
            <v>P8003</v>
          </cell>
          <cell r="D8">
            <v>11925.76</v>
          </cell>
        </row>
        <row r="9">
          <cell r="C9" t="str">
            <v>P8090</v>
          </cell>
          <cell r="D9">
            <v>1917.88</v>
          </cell>
        </row>
        <row r="10">
          <cell r="C10" t="str">
            <v>P8007</v>
          </cell>
          <cell r="D10">
            <v>4278.6499999999996</v>
          </cell>
        </row>
        <row r="11">
          <cell r="C11" t="str">
            <v>P8008</v>
          </cell>
          <cell r="D11">
            <v>5704.87</v>
          </cell>
        </row>
        <row r="12">
          <cell r="C12" t="str">
            <v>P8009</v>
          </cell>
          <cell r="D12">
            <v>10201.290000000001</v>
          </cell>
        </row>
        <row r="13">
          <cell r="C13" t="str">
            <v>P8186</v>
          </cell>
          <cell r="D13">
            <v>3523.08</v>
          </cell>
        </row>
        <row r="14">
          <cell r="C14" t="str">
            <v>P8187</v>
          </cell>
          <cell r="D14">
            <v>4697.4399999999996</v>
          </cell>
        </row>
        <row r="15">
          <cell r="C15" t="str">
            <v>P8188</v>
          </cell>
          <cell r="D15">
            <v>7747.73</v>
          </cell>
        </row>
        <row r="16">
          <cell r="C16" t="str">
            <v>P8189</v>
          </cell>
          <cell r="D16">
            <v>3046.73</v>
          </cell>
        </row>
        <row r="17">
          <cell r="C17" t="str">
            <v>P8190</v>
          </cell>
          <cell r="D17">
            <v>4062.31</v>
          </cell>
        </row>
        <row r="18">
          <cell r="C18" t="str">
            <v>P8191</v>
          </cell>
          <cell r="D18">
            <v>6119.03</v>
          </cell>
        </row>
        <row r="19">
          <cell r="C19" t="str">
            <v>P8013</v>
          </cell>
          <cell r="D19">
            <v>12443.57</v>
          </cell>
        </row>
        <row r="20">
          <cell r="C20" t="str">
            <v>P8014</v>
          </cell>
          <cell r="D20">
            <v>14700.71</v>
          </cell>
        </row>
        <row r="21">
          <cell r="C21" t="str">
            <v>P8015</v>
          </cell>
          <cell r="D21">
            <v>16957.849999999999</v>
          </cell>
        </row>
        <row r="22">
          <cell r="C22" t="str">
            <v>P8167</v>
          </cell>
          <cell r="D22">
            <v>2853.55</v>
          </cell>
        </row>
        <row r="23">
          <cell r="C23" t="str">
            <v>P8168</v>
          </cell>
          <cell r="D23">
            <v>3804.73</v>
          </cell>
        </row>
        <row r="24">
          <cell r="C24" t="str">
            <v>P8169</v>
          </cell>
          <cell r="D24">
            <v>6123.76</v>
          </cell>
        </row>
        <row r="25">
          <cell r="C25" t="str">
            <v>P8019</v>
          </cell>
          <cell r="D25">
            <v>3315.95</v>
          </cell>
        </row>
        <row r="26">
          <cell r="C26" t="str">
            <v>P8020</v>
          </cell>
          <cell r="D26">
            <v>4421.2700000000004</v>
          </cell>
        </row>
        <row r="27">
          <cell r="C27" t="str">
            <v>P8021</v>
          </cell>
          <cell r="D27">
            <v>7478.45</v>
          </cell>
        </row>
        <row r="28">
          <cell r="C28" t="str">
            <v>P8025</v>
          </cell>
          <cell r="D28">
            <v>1760.57</v>
          </cell>
        </row>
        <row r="29">
          <cell r="C29" t="str">
            <v>P8026</v>
          </cell>
          <cell r="D29">
            <v>2035.14</v>
          </cell>
        </row>
        <row r="30">
          <cell r="C30" t="str">
            <v>P8027</v>
          </cell>
          <cell r="D30">
            <v>1955.35</v>
          </cell>
        </row>
        <row r="31">
          <cell r="C31" t="str">
            <v>P8028</v>
          </cell>
          <cell r="D31">
            <v>1760.57</v>
          </cell>
        </row>
        <row r="32">
          <cell r="C32" t="str">
            <v>P8032</v>
          </cell>
          <cell r="D32">
            <v>3216.16</v>
          </cell>
        </row>
        <row r="33">
          <cell r="C33" t="str">
            <v>P8033</v>
          </cell>
          <cell r="D33">
            <v>4288.22</v>
          </cell>
        </row>
        <row r="34">
          <cell r="C34" t="str">
            <v>P8034</v>
          </cell>
          <cell r="D34">
            <v>7843.24</v>
          </cell>
        </row>
        <row r="35">
          <cell r="C35" t="str">
            <v>P8038</v>
          </cell>
          <cell r="D35">
            <v>4071.44</v>
          </cell>
        </row>
        <row r="36">
          <cell r="C36" t="str">
            <v>P8040</v>
          </cell>
          <cell r="D36">
            <v>4556.01</v>
          </cell>
        </row>
        <row r="37">
          <cell r="C37" t="str">
            <v>P8041</v>
          </cell>
          <cell r="D37">
            <v>6074.69</v>
          </cell>
        </row>
        <row r="38">
          <cell r="C38" t="str">
            <v>P8042</v>
          </cell>
          <cell r="D38">
            <v>11579.5</v>
          </cell>
        </row>
        <row r="39">
          <cell r="C39" t="str">
            <v>P8044</v>
          </cell>
          <cell r="D39">
            <v>23174.69</v>
          </cell>
        </row>
        <row r="40">
          <cell r="C40" t="str">
            <v>P8178</v>
          </cell>
          <cell r="D40">
            <v>3209</v>
          </cell>
        </row>
        <row r="41">
          <cell r="C41" t="str">
            <v>P8045</v>
          </cell>
          <cell r="D41">
            <v>4725.34</v>
          </cell>
        </row>
        <row r="42">
          <cell r="C42" t="str">
            <v>P8046</v>
          </cell>
          <cell r="D42">
            <v>6300.46</v>
          </cell>
        </row>
        <row r="43">
          <cell r="C43" t="str">
            <v>P8047</v>
          </cell>
          <cell r="D43">
            <v>9350.58</v>
          </cell>
        </row>
        <row r="44">
          <cell r="C44" t="str">
            <v>P8180</v>
          </cell>
          <cell r="D44">
            <v>12443.57</v>
          </cell>
        </row>
        <row r="45">
          <cell r="C45" t="str">
            <v>P8181</v>
          </cell>
          <cell r="D45">
            <v>14336.79</v>
          </cell>
        </row>
        <row r="46">
          <cell r="C46" t="str">
            <v>P8182</v>
          </cell>
          <cell r="D46">
            <v>16230</v>
          </cell>
        </row>
        <row r="47">
          <cell r="C47" t="str">
            <v>P8054</v>
          </cell>
          <cell r="D47">
            <v>12443.57</v>
          </cell>
        </row>
        <row r="48">
          <cell r="C48" t="str">
            <v>P8055</v>
          </cell>
          <cell r="D48">
            <v>14397.92</v>
          </cell>
        </row>
        <row r="49">
          <cell r="C49" t="str">
            <v>P8056</v>
          </cell>
          <cell r="D49">
            <v>16352.28</v>
          </cell>
        </row>
        <row r="50">
          <cell r="C50" t="str">
            <v>P8057</v>
          </cell>
          <cell r="D50">
            <v>12443.57</v>
          </cell>
        </row>
        <row r="51">
          <cell r="C51" t="str">
            <v>P8058</v>
          </cell>
          <cell r="D51">
            <v>15288.56</v>
          </cell>
        </row>
        <row r="52">
          <cell r="C52" t="str">
            <v>P8059</v>
          </cell>
          <cell r="D52">
            <v>18133.55</v>
          </cell>
        </row>
        <row r="53">
          <cell r="C53" t="str">
            <v>P8060</v>
          </cell>
          <cell r="D53">
            <v>23765.17</v>
          </cell>
        </row>
        <row r="54">
          <cell r="C54" t="str">
            <v>P8061</v>
          </cell>
          <cell r="D54">
            <v>19804.310000000001</v>
          </cell>
        </row>
        <row r="55">
          <cell r="C55" t="str">
            <v>P8062</v>
          </cell>
          <cell r="D55">
            <v>12443.57</v>
          </cell>
        </row>
        <row r="56">
          <cell r="C56" t="str">
            <v>P8063</v>
          </cell>
          <cell r="D56">
            <v>14680.81</v>
          </cell>
        </row>
        <row r="57">
          <cell r="C57" t="str">
            <v>P8064</v>
          </cell>
          <cell r="D57">
            <v>16918.04</v>
          </cell>
        </row>
        <row r="58">
          <cell r="C58" t="str">
            <v>P8065</v>
          </cell>
          <cell r="D58">
            <v>12443.57</v>
          </cell>
        </row>
        <row r="59">
          <cell r="C59" t="str">
            <v>P8066</v>
          </cell>
          <cell r="D59">
            <v>14859.07</v>
          </cell>
        </row>
        <row r="60">
          <cell r="C60" t="str">
            <v>P8067</v>
          </cell>
          <cell r="D60">
            <v>17274.580000000002</v>
          </cell>
        </row>
        <row r="61">
          <cell r="C61" t="str">
            <v>P8068</v>
          </cell>
          <cell r="D61">
            <v>12443.57</v>
          </cell>
        </row>
        <row r="62">
          <cell r="C62" t="str">
            <v>P8069</v>
          </cell>
          <cell r="D62">
            <v>14680.81</v>
          </cell>
        </row>
        <row r="63">
          <cell r="C63" t="str">
            <v>P8070</v>
          </cell>
          <cell r="D63">
            <v>16918.04</v>
          </cell>
        </row>
        <row r="64">
          <cell r="C64" t="str">
            <v>P8183</v>
          </cell>
          <cell r="D64">
            <v>4156.42</v>
          </cell>
        </row>
        <row r="65">
          <cell r="C65" t="str">
            <v>P8184</v>
          </cell>
          <cell r="D65">
            <v>5541.89</v>
          </cell>
        </row>
        <row r="66">
          <cell r="C66" t="str">
            <v>P8185</v>
          </cell>
          <cell r="D66">
            <v>10902.26</v>
          </cell>
        </row>
        <row r="67">
          <cell r="C67" t="str">
            <v>P8080</v>
          </cell>
          <cell r="D67">
            <v>11984.56</v>
          </cell>
        </row>
        <row r="68">
          <cell r="C68" t="str">
            <v>P8081</v>
          </cell>
          <cell r="D68">
            <v>14394.96</v>
          </cell>
        </row>
        <row r="69">
          <cell r="C69" t="str">
            <v>P8082</v>
          </cell>
          <cell r="D69">
            <v>16805.36</v>
          </cell>
        </row>
        <row r="70">
          <cell r="C70" t="str">
            <v>P8192</v>
          </cell>
          <cell r="D70">
            <v>4522.28</v>
          </cell>
        </row>
        <row r="71">
          <cell r="C71" t="str">
            <v>P8193</v>
          </cell>
          <cell r="D71">
            <v>6029.7</v>
          </cell>
        </row>
        <row r="72">
          <cell r="C72" t="str">
            <v>P8194</v>
          </cell>
          <cell r="D72">
            <v>10018.959999999999</v>
          </cell>
        </row>
        <row r="73">
          <cell r="C73" t="str">
            <v>P8092</v>
          </cell>
          <cell r="D73">
            <v>3381.71</v>
          </cell>
        </row>
        <row r="74">
          <cell r="C74" t="str">
            <v>P8093</v>
          </cell>
          <cell r="D74">
            <v>4508.95</v>
          </cell>
        </row>
        <row r="75">
          <cell r="C75" t="str">
            <v>P8094</v>
          </cell>
          <cell r="D75">
            <v>8458.7800000000007</v>
          </cell>
        </row>
        <row r="76">
          <cell r="C76" t="str">
            <v>P8098</v>
          </cell>
          <cell r="D76">
            <v>2607.13</v>
          </cell>
        </row>
        <row r="77">
          <cell r="C77" t="str">
            <v>P8102</v>
          </cell>
          <cell r="D77">
            <v>12443.57</v>
          </cell>
        </row>
        <row r="78">
          <cell r="C78" t="str">
            <v>P8106</v>
          </cell>
          <cell r="D78">
            <v>5571.47</v>
          </cell>
        </row>
        <row r="79">
          <cell r="C79" t="str">
            <v>P8107</v>
          </cell>
          <cell r="D79">
            <v>7428.63</v>
          </cell>
        </row>
        <row r="80">
          <cell r="C80" t="str">
            <v>P8108</v>
          </cell>
          <cell r="D80">
            <v>12127.97</v>
          </cell>
        </row>
        <row r="81">
          <cell r="C81" t="str">
            <v>P8112</v>
          </cell>
          <cell r="D81">
            <v>2632.13</v>
          </cell>
        </row>
        <row r="82">
          <cell r="C82" t="str">
            <v>P8113</v>
          </cell>
          <cell r="D82">
            <v>2275.2800000000002</v>
          </cell>
        </row>
        <row r="83">
          <cell r="C83" t="str">
            <v>P8117</v>
          </cell>
          <cell r="D83">
            <v>4558.17</v>
          </cell>
        </row>
        <row r="84">
          <cell r="C84" t="str">
            <v>P8118</v>
          </cell>
          <cell r="D84">
            <v>6077.57</v>
          </cell>
        </row>
        <row r="85">
          <cell r="C85" t="str">
            <v>P8119</v>
          </cell>
          <cell r="D85">
            <v>11759</v>
          </cell>
        </row>
        <row r="86">
          <cell r="C86" t="str">
            <v>P8195</v>
          </cell>
          <cell r="D86">
            <v>3523.08</v>
          </cell>
        </row>
        <row r="87">
          <cell r="C87" t="str">
            <v>P8196</v>
          </cell>
          <cell r="D87">
            <v>4697.4399999999996</v>
          </cell>
        </row>
        <row r="88">
          <cell r="C88" t="str">
            <v>P8197</v>
          </cell>
          <cell r="D88">
            <v>7747.73</v>
          </cell>
        </row>
        <row r="89">
          <cell r="C89" t="str">
            <v>P8129</v>
          </cell>
          <cell r="D89">
            <v>2421.62</v>
          </cell>
        </row>
        <row r="90">
          <cell r="C90" t="str">
            <v>P8130</v>
          </cell>
          <cell r="D90">
            <v>3228.83</v>
          </cell>
        </row>
        <row r="91">
          <cell r="C91" t="str">
            <v>P8131</v>
          </cell>
          <cell r="D91">
            <v>4110.7299999999996</v>
          </cell>
        </row>
        <row r="92">
          <cell r="C92" t="str">
            <v>P8135</v>
          </cell>
          <cell r="D92">
            <v>3036.94</v>
          </cell>
        </row>
        <row r="93">
          <cell r="C93" t="str">
            <v>P8198</v>
          </cell>
          <cell r="D93">
            <v>4594.41</v>
          </cell>
        </row>
        <row r="94">
          <cell r="C94" t="str">
            <v>P8199</v>
          </cell>
          <cell r="D94">
            <v>6125.87</v>
          </cell>
        </row>
        <row r="95">
          <cell r="C95" t="str">
            <v>P8200</v>
          </cell>
          <cell r="D95">
            <v>9815.33</v>
          </cell>
        </row>
        <row r="96">
          <cell r="C96" t="str">
            <v>P8139</v>
          </cell>
          <cell r="D96">
            <v>2312.5500000000002</v>
          </cell>
        </row>
        <row r="97">
          <cell r="C97" t="str">
            <v>P8143</v>
          </cell>
          <cell r="D97">
            <v>3109.33</v>
          </cell>
        </row>
        <row r="98">
          <cell r="C98" t="str">
            <v>P8147</v>
          </cell>
          <cell r="D98">
            <v>3396.84</v>
          </cell>
        </row>
        <row r="99">
          <cell r="C99" t="str">
            <v>P8151</v>
          </cell>
          <cell r="D99">
            <v>4601.83</v>
          </cell>
        </row>
        <row r="100">
          <cell r="C100" t="str">
            <v>P8155</v>
          </cell>
          <cell r="D100">
            <v>3003.73</v>
          </cell>
        </row>
        <row r="101">
          <cell r="C101" t="str">
            <v>P8163</v>
          </cell>
          <cell r="D101">
            <v>2701.65</v>
          </cell>
        </row>
        <row r="102">
          <cell r="C102" t="str">
            <v>BC</v>
          </cell>
          <cell r="D102">
            <v>5000</v>
          </cell>
        </row>
        <row r="103">
          <cell r="C103" t="str">
            <v>BP</v>
          </cell>
          <cell r="D103">
            <v>3000</v>
          </cell>
        </row>
        <row r="104">
          <cell r="C104" t="str">
            <v>PRPA</v>
          </cell>
          <cell r="D104">
            <v>3680</v>
          </cell>
        </row>
        <row r="105">
          <cell r="C105" t="str">
            <v>BD30</v>
          </cell>
          <cell r="D105">
            <v>4850</v>
          </cell>
        </row>
        <row r="106">
          <cell r="C106" t="str">
            <v>BD20</v>
          </cell>
          <cell r="D106">
            <v>3200</v>
          </cell>
        </row>
        <row r="107">
          <cell r="C107" t="str">
            <v>BM30</v>
          </cell>
          <cell r="D107">
            <v>3350</v>
          </cell>
        </row>
        <row r="108">
          <cell r="C108" t="str">
            <v>BM20</v>
          </cell>
          <cell r="D108">
            <v>2200</v>
          </cell>
        </row>
        <row r="109">
          <cell r="C109" t="str">
            <v>BG30</v>
          </cell>
          <cell r="D109">
            <v>1625</v>
          </cell>
        </row>
        <row r="110">
          <cell r="C110" t="str">
            <v>BG20</v>
          </cell>
          <cell r="D110">
            <v>1050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C9B1-F385-41AB-98E7-EBADAF869454}">
  <dimension ref="A1:E110"/>
  <sheetViews>
    <sheetView workbookViewId="0">
      <selection activeCell="I15" sqref="I15"/>
    </sheetView>
  </sheetViews>
  <sheetFormatPr defaultColWidth="10.6640625" defaultRowHeight="11.65" x14ac:dyDescent="0.45"/>
  <cols>
    <col min="1" max="1" width="37.265625" style="11" customWidth="1"/>
    <col min="2" max="2" width="10.33203125" style="11" customWidth="1"/>
    <col min="3" max="3" width="10.33203125" style="12" customWidth="1"/>
    <col min="4" max="4" width="14.3984375" style="1" bestFit="1" customWidth="1"/>
    <col min="5" max="16384" width="10.6640625" style="1"/>
  </cols>
  <sheetData>
    <row r="1" spans="1:4" ht="16.149999999999999" customHeight="1" x14ac:dyDescent="0.45">
      <c r="A1" s="257" t="s">
        <v>0</v>
      </c>
      <c r="B1" s="257"/>
      <c r="C1" s="257"/>
      <c r="D1" s="257"/>
    </row>
    <row r="2" spans="1:4" s="3" customFormat="1" ht="16.149999999999999" customHeight="1" x14ac:dyDescent="0.45">
      <c r="A2" s="2" t="s">
        <v>1</v>
      </c>
      <c r="B2" s="2" t="s">
        <v>2</v>
      </c>
      <c r="C2" s="2" t="s">
        <v>3</v>
      </c>
      <c r="D2" s="2" t="s">
        <v>4</v>
      </c>
    </row>
    <row r="3" spans="1:4" s="3" customFormat="1" ht="16.149999999999999" customHeight="1" x14ac:dyDescent="0.45">
      <c r="A3" s="4" t="s">
        <v>5</v>
      </c>
      <c r="B3" s="5" t="s">
        <v>6</v>
      </c>
      <c r="C3" s="5" t="s">
        <v>7</v>
      </c>
      <c r="D3" s="6">
        <v>5061.91</v>
      </c>
    </row>
    <row r="4" spans="1:4" s="3" customFormat="1" ht="16.149999999999999" customHeight="1" x14ac:dyDescent="0.45">
      <c r="A4" s="7" t="s">
        <v>8</v>
      </c>
      <c r="B4" s="8" t="s">
        <v>6</v>
      </c>
      <c r="C4" s="8" t="s">
        <v>9</v>
      </c>
      <c r="D4" s="9">
        <v>3695.94</v>
      </c>
    </row>
    <row r="5" spans="1:4" s="3" customFormat="1" ht="16.149999999999999" customHeight="1" x14ac:dyDescent="0.45">
      <c r="A5" s="4" t="s">
        <v>10</v>
      </c>
      <c r="B5" s="5" t="s">
        <v>6</v>
      </c>
      <c r="C5" s="5" t="s">
        <v>11</v>
      </c>
      <c r="D5" s="6">
        <v>4927.92</v>
      </c>
    </row>
    <row r="6" spans="1:4" s="3" customFormat="1" ht="16.149999999999999" customHeight="1" x14ac:dyDescent="0.45">
      <c r="A6" s="7" t="s">
        <v>12</v>
      </c>
      <c r="B6" s="8" t="s">
        <v>6</v>
      </c>
      <c r="C6" s="8" t="s">
        <v>13</v>
      </c>
      <c r="D6" s="9">
        <v>8887.1</v>
      </c>
    </row>
    <row r="7" spans="1:4" s="3" customFormat="1" ht="16.149999999999999" customHeight="1" x14ac:dyDescent="0.45">
      <c r="A7" s="4" t="s">
        <v>14</v>
      </c>
      <c r="B7" s="5" t="s">
        <v>6</v>
      </c>
      <c r="C7" s="5" t="s">
        <v>15</v>
      </c>
      <c r="D7" s="6">
        <v>6749.21</v>
      </c>
    </row>
    <row r="8" spans="1:4" s="3" customFormat="1" ht="16.149999999999999" customHeight="1" x14ac:dyDescent="0.45">
      <c r="A8" s="7" t="s">
        <v>16</v>
      </c>
      <c r="B8" s="8" t="s">
        <v>6</v>
      </c>
      <c r="C8" s="8" t="s">
        <v>17</v>
      </c>
      <c r="D8" s="9">
        <v>11925.76</v>
      </c>
    </row>
    <row r="9" spans="1:4" s="3" customFormat="1" ht="16.149999999999999" customHeight="1" x14ac:dyDescent="0.45">
      <c r="A9" s="4" t="s">
        <v>18</v>
      </c>
      <c r="B9" s="5" t="s">
        <v>6</v>
      </c>
      <c r="C9" s="5" t="s">
        <v>19</v>
      </c>
      <c r="D9" s="6">
        <v>1917.88</v>
      </c>
    </row>
    <row r="10" spans="1:4" s="3" customFormat="1" ht="16.149999999999999" customHeight="1" x14ac:dyDescent="0.45">
      <c r="A10" s="7" t="s">
        <v>20</v>
      </c>
      <c r="B10" s="8" t="s">
        <v>6</v>
      </c>
      <c r="C10" s="8" t="s">
        <v>21</v>
      </c>
      <c r="D10" s="9">
        <v>4278.6499999999996</v>
      </c>
    </row>
    <row r="11" spans="1:4" s="3" customFormat="1" ht="16.149999999999999" customHeight="1" x14ac:dyDescent="0.45">
      <c r="A11" s="4" t="s">
        <v>22</v>
      </c>
      <c r="B11" s="5" t="s">
        <v>6</v>
      </c>
      <c r="C11" s="5" t="s">
        <v>23</v>
      </c>
      <c r="D11" s="6">
        <v>5704.87</v>
      </c>
    </row>
    <row r="12" spans="1:4" s="3" customFormat="1" ht="16.149999999999999" customHeight="1" x14ac:dyDescent="0.45">
      <c r="A12" s="7" t="s">
        <v>24</v>
      </c>
      <c r="B12" s="8" t="s">
        <v>6</v>
      </c>
      <c r="C12" s="8" t="s">
        <v>25</v>
      </c>
      <c r="D12" s="9">
        <v>10201.290000000001</v>
      </c>
    </row>
    <row r="13" spans="1:4" s="3" customFormat="1" ht="16.149999999999999" customHeight="1" x14ac:dyDescent="0.45">
      <c r="A13" s="4" t="s">
        <v>26</v>
      </c>
      <c r="B13" s="5" t="s">
        <v>6</v>
      </c>
      <c r="C13" s="5" t="s">
        <v>27</v>
      </c>
      <c r="D13" s="6">
        <v>3523.08</v>
      </c>
    </row>
    <row r="14" spans="1:4" s="3" customFormat="1" ht="16.149999999999999" customHeight="1" x14ac:dyDescent="0.45">
      <c r="A14" s="7" t="s">
        <v>28</v>
      </c>
      <c r="B14" s="8" t="s">
        <v>6</v>
      </c>
      <c r="C14" s="8" t="s">
        <v>29</v>
      </c>
      <c r="D14" s="9">
        <v>4697.4399999999996</v>
      </c>
    </row>
    <row r="15" spans="1:4" s="3" customFormat="1" ht="16.149999999999999" customHeight="1" x14ac:dyDescent="0.45">
      <c r="A15" s="4" t="s">
        <v>30</v>
      </c>
      <c r="B15" s="5" t="s">
        <v>6</v>
      </c>
      <c r="C15" s="5" t="s">
        <v>31</v>
      </c>
      <c r="D15" s="6">
        <v>7747.73</v>
      </c>
    </row>
    <row r="16" spans="1:4" s="3" customFormat="1" ht="16.149999999999999" customHeight="1" x14ac:dyDescent="0.45">
      <c r="A16" s="7" t="s">
        <v>32</v>
      </c>
      <c r="B16" s="8" t="s">
        <v>6</v>
      </c>
      <c r="C16" s="8" t="s">
        <v>33</v>
      </c>
      <c r="D16" s="9">
        <v>3046.73</v>
      </c>
    </row>
    <row r="17" spans="1:4" s="3" customFormat="1" ht="16.149999999999999" customHeight="1" x14ac:dyDescent="0.45">
      <c r="A17" s="4" t="s">
        <v>34</v>
      </c>
      <c r="B17" s="5" t="s">
        <v>6</v>
      </c>
      <c r="C17" s="5" t="s">
        <v>35</v>
      </c>
      <c r="D17" s="6">
        <v>4062.31</v>
      </c>
    </row>
    <row r="18" spans="1:4" s="3" customFormat="1" ht="16.149999999999999" customHeight="1" x14ac:dyDescent="0.45">
      <c r="A18" s="7" t="s">
        <v>36</v>
      </c>
      <c r="B18" s="8" t="s">
        <v>6</v>
      </c>
      <c r="C18" s="8" t="s">
        <v>37</v>
      </c>
      <c r="D18" s="9">
        <v>6119.03</v>
      </c>
    </row>
    <row r="19" spans="1:4" s="3" customFormat="1" ht="16.149999999999999" customHeight="1" x14ac:dyDescent="0.45">
      <c r="A19" s="4" t="s">
        <v>38</v>
      </c>
      <c r="B19" s="5" t="s">
        <v>6</v>
      </c>
      <c r="C19" s="5" t="s">
        <v>39</v>
      </c>
      <c r="D19" s="6">
        <v>12443.57</v>
      </c>
    </row>
    <row r="20" spans="1:4" s="3" customFormat="1" ht="16.149999999999999" customHeight="1" x14ac:dyDescent="0.45">
      <c r="A20" s="7" t="s">
        <v>40</v>
      </c>
      <c r="B20" s="8" t="s">
        <v>6</v>
      </c>
      <c r="C20" s="8" t="s">
        <v>41</v>
      </c>
      <c r="D20" s="9">
        <v>14700.71</v>
      </c>
    </row>
    <row r="21" spans="1:4" s="3" customFormat="1" ht="16.149999999999999" customHeight="1" x14ac:dyDescent="0.45">
      <c r="A21" s="4" t="s">
        <v>42</v>
      </c>
      <c r="B21" s="5" t="s">
        <v>6</v>
      </c>
      <c r="C21" s="5" t="s">
        <v>43</v>
      </c>
      <c r="D21" s="6">
        <v>16957.849999999999</v>
      </c>
    </row>
    <row r="22" spans="1:4" s="3" customFormat="1" ht="16.149999999999999" customHeight="1" x14ac:dyDescent="0.45">
      <c r="A22" s="7" t="s">
        <v>44</v>
      </c>
      <c r="B22" s="8" t="s">
        <v>6</v>
      </c>
      <c r="C22" s="8" t="s">
        <v>45</v>
      </c>
      <c r="D22" s="9">
        <v>2853.55</v>
      </c>
    </row>
    <row r="23" spans="1:4" s="3" customFormat="1" ht="16.149999999999999" customHeight="1" x14ac:dyDescent="0.45">
      <c r="A23" s="4" t="s">
        <v>46</v>
      </c>
      <c r="B23" s="5" t="s">
        <v>6</v>
      </c>
      <c r="C23" s="5" t="s">
        <v>47</v>
      </c>
      <c r="D23" s="6">
        <v>3804.73</v>
      </c>
    </row>
    <row r="24" spans="1:4" s="3" customFormat="1" ht="16.149999999999999" customHeight="1" x14ac:dyDescent="0.45">
      <c r="A24" s="7" t="s">
        <v>48</v>
      </c>
      <c r="B24" s="8" t="s">
        <v>6</v>
      </c>
      <c r="C24" s="8" t="s">
        <v>49</v>
      </c>
      <c r="D24" s="9">
        <v>6123.76</v>
      </c>
    </row>
    <row r="25" spans="1:4" s="3" customFormat="1" ht="16.149999999999999" customHeight="1" x14ac:dyDescent="0.45">
      <c r="A25" s="4" t="s">
        <v>50</v>
      </c>
      <c r="B25" s="5" t="s">
        <v>6</v>
      </c>
      <c r="C25" s="5" t="s">
        <v>51</v>
      </c>
      <c r="D25" s="6">
        <v>3315.95</v>
      </c>
    </row>
    <row r="26" spans="1:4" s="3" customFormat="1" ht="16.149999999999999" customHeight="1" x14ac:dyDescent="0.45">
      <c r="A26" s="7" t="s">
        <v>52</v>
      </c>
      <c r="B26" s="8" t="s">
        <v>6</v>
      </c>
      <c r="C26" s="8" t="s">
        <v>53</v>
      </c>
      <c r="D26" s="9">
        <v>4421.2700000000004</v>
      </c>
    </row>
    <row r="27" spans="1:4" s="3" customFormat="1" ht="16.149999999999999" customHeight="1" x14ac:dyDescent="0.45">
      <c r="A27" s="4" t="s">
        <v>54</v>
      </c>
      <c r="B27" s="5" t="s">
        <v>6</v>
      </c>
      <c r="C27" s="5" t="s">
        <v>55</v>
      </c>
      <c r="D27" s="6">
        <v>7478.45</v>
      </c>
    </row>
    <row r="28" spans="1:4" s="3" customFormat="1" ht="16.149999999999999" customHeight="1" x14ac:dyDescent="0.45">
      <c r="A28" s="7" t="s">
        <v>56</v>
      </c>
      <c r="B28" s="8" t="s">
        <v>6</v>
      </c>
      <c r="C28" s="8" t="s">
        <v>57</v>
      </c>
      <c r="D28" s="9">
        <v>1760.57</v>
      </c>
    </row>
    <row r="29" spans="1:4" s="3" customFormat="1" ht="16.149999999999999" customHeight="1" x14ac:dyDescent="0.45">
      <c r="A29" s="4" t="s">
        <v>58</v>
      </c>
      <c r="B29" s="5" t="s">
        <v>6</v>
      </c>
      <c r="C29" s="5" t="s">
        <v>59</v>
      </c>
      <c r="D29" s="6">
        <v>2035.14</v>
      </c>
    </row>
    <row r="30" spans="1:4" s="3" customFormat="1" ht="16.149999999999999" customHeight="1" x14ac:dyDescent="0.45">
      <c r="A30" s="7" t="s">
        <v>60</v>
      </c>
      <c r="B30" s="8" t="s">
        <v>6</v>
      </c>
      <c r="C30" s="8" t="s">
        <v>61</v>
      </c>
      <c r="D30" s="9">
        <v>1955.35</v>
      </c>
    </row>
    <row r="31" spans="1:4" s="3" customFormat="1" ht="16.149999999999999" customHeight="1" x14ac:dyDescent="0.45">
      <c r="A31" s="4" t="s">
        <v>62</v>
      </c>
      <c r="B31" s="5" t="s">
        <v>6</v>
      </c>
      <c r="C31" s="5" t="s">
        <v>63</v>
      </c>
      <c r="D31" s="6">
        <v>1760.57</v>
      </c>
    </row>
    <row r="32" spans="1:4" s="3" customFormat="1" ht="16.149999999999999" customHeight="1" x14ac:dyDescent="0.45">
      <c r="A32" s="7" t="s">
        <v>64</v>
      </c>
      <c r="B32" s="8" t="s">
        <v>6</v>
      </c>
      <c r="C32" s="8" t="s">
        <v>65</v>
      </c>
      <c r="D32" s="9">
        <v>3216.16</v>
      </c>
    </row>
    <row r="33" spans="1:4" s="3" customFormat="1" ht="16.149999999999999" customHeight="1" x14ac:dyDescent="0.45">
      <c r="A33" s="4" t="s">
        <v>66</v>
      </c>
      <c r="B33" s="5" t="s">
        <v>6</v>
      </c>
      <c r="C33" s="5" t="s">
        <v>67</v>
      </c>
      <c r="D33" s="6">
        <v>4288.22</v>
      </c>
    </row>
    <row r="34" spans="1:4" s="3" customFormat="1" ht="16.149999999999999" customHeight="1" x14ac:dyDescent="0.45">
      <c r="A34" s="7" t="s">
        <v>68</v>
      </c>
      <c r="B34" s="8" t="s">
        <v>6</v>
      </c>
      <c r="C34" s="8" t="s">
        <v>69</v>
      </c>
      <c r="D34" s="9">
        <v>7843.24</v>
      </c>
    </row>
    <row r="35" spans="1:4" s="3" customFormat="1" ht="16.149999999999999" customHeight="1" x14ac:dyDescent="0.45">
      <c r="A35" s="4" t="s">
        <v>70</v>
      </c>
      <c r="B35" s="5" t="s">
        <v>6</v>
      </c>
      <c r="C35" s="5" t="s">
        <v>71</v>
      </c>
      <c r="D35" s="6">
        <v>4071.44</v>
      </c>
    </row>
    <row r="36" spans="1:4" s="3" customFormat="1" ht="16.149999999999999" customHeight="1" x14ac:dyDescent="0.45">
      <c r="A36" s="7" t="s">
        <v>72</v>
      </c>
      <c r="B36" s="8" t="s">
        <v>6</v>
      </c>
      <c r="C36" s="8" t="s">
        <v>73</v>
      </c>
      <c r="D36" s="9">
        <v>4556.01</v>
      </c>
    </row>
    <row r="37" spans="1:4" s="3" customFormat="1" ht="16.149999999999999" customHeight="1" x14ac:dyDescent="0.45">
      <c r="A37" s="4" t="s">
        <v>74</v>
      </c>
      <c r="B37" s="5" t="s">
        <v>6</v>
      </c>
      <c r="C37" s="5" t="s">
        <v>75</v>
      </c>
      <c r="D37" s="6">
        <v>6074.69</v>
      </c>
    </row>
    <row r="38" spans="1:4" s="3" customFormat="1" ht="16.149999999999999" customHeight="1" x14ac:dyDescent="0.45">
      <c r="A38" s="7" t="s">
        <v>76</v>
      </c>
      <c r="B38" s="8" t="s">
        <v>6</v>
      </c>
      <c r="C38" s="8" t="s">
        <v>77</v>
      </c>
      <c r="D38" s="9">
        <v>11579.5</v>
      </c>
    </row>
    <row r="39" spans="1:4" s="3" customFormat="1" ht="16.149999999999999" customHeight="1" x14ac:dyDescent="0.45">
      <c r="A39" s="4" t="s">
        <v>78</v>
      </c>
      <c r="B39" s="5" t="s">
        <v>6</v>
      </c>
      <c r="C39" s="5" t="s">
        <v>79</v>
      </c>
      <c r="D39" s="6">
        <v>23174.69</v>
      </c>
    </row>
    <row r="40" spans="1:4" s="3" customFormat="1" ht="16.149999999999999" customHeight="1" x14ac:dyDescent="0.45">
      <c r="A40" s="7" t="s">
        <v>80</v>
      </c>
      <c r="B40" s="8" t="s">
        <v>6</v>
      </c>
      <c r="C40" s="8" t="s">
        <v>81</v>
      </c>
      <c r="D40" s="9">
        <v>3209</v>
      </c>
    </row>
    <row r="41" spans="1:4" s="3" customFormat="1" ht="16.149999999999999" customHeight="1" x14ac:dyDescent="0.45">
      <c r="A41" s="4" t="s">
        <v>82</v>
      </c>
      <c r="B41" s="5" t="s">
        <v>6</v>
      </c>
      <c r="C41" s="5" t="s">
        <v>83</v>
      </c>
      <c r="D41" s="6">
        <v>4725.34</v>
      </c>
    </row>
    <row r="42" spans="1:4" s="3" customFormat="1" ht="16.149999999999999" customHeight="1" x14ac:dyDescent="0.45">
      <c r="A42" s="7" t="s">
        <v>84</v>
      </c>
      <c r="B42" s="8" t="s">
        <v>6</v>
      </c>
      <c r="C42" s="8" t="s">
        <v>85</v>
      </c>
      <c r="D42" s="9">
        <v>6300.46</v>
      </c>
    </row>
    <row r="43" spans="1:4" s="3" customFormat="1" ht="16.149999999999999" customHeight="1" x14ac:dyDescent="0.45">
      <c r="A43" s="4" t="s">
        <v>86</v>
      </c>
      <c r="B43" s="5" t="s">
        <v>6</v>
      </c>
      <c r="C43" s="5" t="s">
        <v>87</v>
      </c>
      <c r="D43" s="6">
        <v>9350.58</v>
      </c>
    </row>
    <row r="44" spans="1:4" s="3" customFormat="1" ht="16.149999999999999" customHeight="1" x14ac:dyDescent="0.45">
      <c r="A44" s="7" t="s">
        <v>88</v>
      </c>
      <c r="B44" s="8" t="s">
        <v>6</v>
      </c>
      <c r="C44" s="8" t="s">
        <v>89</v>
      </c>
      <c r="D44" s="9">
        <v>12443.57</v>
      </c>
    </row>
    <row r="45" spans="1:4" s="3" customFormat="1" ht="16.149999999999999" customHeight="1" x14ac:dyDescent="0.45">
      <c r="A45" s="4" t="s">
        <v>90</v>
      </c>
      <c r="B45" s="5" t="s">
        <v>6</v>
      </c>
      <c r="C45" s="5" t="s">
        <v>91</v>
      </c>
      <c r="D45" s="6">
        <v>14336.79</v>
      </c>
    </row>
    <row r="46" spans="1:4" s="3" customFormat="1" ht="16.149999999999999" customHeight="1" x14ac:dyDescent="0.45">
      <c r="A46" s="7" t="s">
        <v>92</v>
      </c>
      <c r="B46" s="8" t="s">
        <v>6</v>
      </c>
      <c r="C46" s="8" t="s">
        <v>93</v>
      </c>
      <c r="D46" s="9">
        <v>16230</v>
      </c>
    </row>
    <row r="47" spans="1:4" s="3" customFormat="1" ht="16.149999999999999" customHeight="1" x14ac:dyDescent="0.45">
      <c r="A47" s="4" t="s">
        <v>94</v>
      </c>
      <c r="B47" s="5" t="s">
        <v>6</v>
      </c>
      <c r="C47" s="5" t="s">
        <v>95</v>
      </c>
      <c r="D47" s="6">
        <v>12443.57</v>
      </c>
    </row>
    <row r="48" spans="1:4" s="3" customFormat="1" ht="16.149999999999999" customHeight="1" x14ac:dyDescent="0.45">
      <c r="A48" s="7" t="s">
        <v>96</v>
      </c>
      <c r="B48" s="8" t="s">
        <v>6</v>
      </c>
      <c r="C48" s="8" t="s">
        <v>97</v>
      </c>
      <c r="D48" s="9">
        <v>14397.92</v>
      </c>
    </row>
    <row r="49" spans="1:4" s="3" customFormat="1" ht="16.149999999999999" customHeight="1" x14ac:dyDescent="0.45">
      <c r="A49" s="4" t="s">
        <v>98</v>
      </c>
      <c r="B49" s="5" t="s">
        <v>6</v>
      </c>
      <c r="C49" s="5" t="s">
        <v>99</v>
      </c>
      <c r="D49" s="6">
        <v>16352.28</v>
      </c>
    </row>
    <row r="50" spans="1:4" s="3" customFormat="1" ht="16.149999999999999" customHeight="1" x14ac:dyDescent="0.45">
      <c r="A50" s="7" t="s">
        <v>100</v>
      </c>
      <c r="B50" s="8" t="s">
        <v>6</v>
      </c>
      <c r="C50" s="8" t="s">
        <v>101</v>
      </c>
      <c r="D50" s="9">
        <v>12443.57</v>
      </c>
    </row>
    <row r="51" spans="1:4" s="3" customFormat="1" ht="16.149999999999999" customHeight="1" x14ac:dyDescent="0.45">
      <c r="A51" s="4" t="s">
        <v>102</v>
      </c>
      <c r="B51" s="5" t="s">
        <v>6</v>
      </c>
      <c r="C51" s="5" t="s">
        <v>103</v>
      </c>
      <c r="D51" s="6">
        <v>15288.56</v>
      </c>
    </row>
    <row r="52" spans="1:4" s="3" customFormat="1" ht="16.149999999999999" customHeight="1" x14ac:dyDescent="0.45">
      <c r="A52" s="7" t="s">
        <v>104</v>
      </c>
      <c r="B52" s="8" t="s">
        <v>6</v>
      </c>
      <c r="C52" s="8" t="s">
        <v>105</v>
      </c>
      <c r="D52" s="9">
        <v>18133.55</v>
      </c>
    </row>
    <row r="53" spans="1:4" s="3" customFormat="1" ht="16.149999999999999" customHeight="1" x14ac:dyDescent="0.45">
      <c r="A53" s="4" t="s">
        <v>106</v>
      </c>
      <c r="B53" s="5" t="s">
        <v>6</v>
      </c>
      <c r="C53" s="5" t="s">
        <v>107</v>
      </c>
      <c r="D53" s="6">
        <v>23765.17</v>
      </c>
    </row>
    <row r="54" spans="1:4" s="3" customFormat="1" ht="16.149999999999999" customHeight="1" x14ac:dyDescent="0.45">
      <c r="A54" s="7" t="s">
        <v>108</v>
      </c>
      <c r="B54" s="8" t="s">
        <v>6</v>
      </c>
      <c r="C54" s="8" t="s">
        <v>109</v>
      </c>
      <c r="D54" s="9">
        <v>19804.310000000001</v>
      </c>
    </row>
    <row r="55" spans="1:4" s="3" customFormat="1" ht="16.149999999999999" customHeight="1" x14ac:dyDescent="0.45">
      <c r="A55" s="4" t="s">
        <v>110</v>
      </c>
      <c r="B55" s="5" t="s">
        <v>6</v>
      </c>
      <c r="C55" s="5" t="s">
        <v>111</v>
      </c>
      <c r="D55" s="6">
        <v>12443.57</v>
      </c>
    </row>
    <row r="56" spans="1:4" s="3" customFormat="1" ht="16.149999999999999" customHeight="1" x14ac:dyDescent="0.45">
      <c r="A56" s="7" t="s">
        <v>112</v>
      </c>
      <c r="B56" s="8" t="s">
        <v>6</v>
      </c>
      <c r="C56" s="8" t="s">
        <v>113</v>
      </c>
      <c r="D56" s="9">
        <v>14680.81</v>
      </c>
    </row>
    <row r="57" spans="1:4" s="3" customFormat="1" ht="16.149999999999999" customHeight="1" x14ac:dyDescent="0.45">
      <c r="A57" s="4" t="s">
        <v>114</v>
      </c>
      <c r="B57" s="5" t="s">
        <v>6</v>
      </c>
      <c r="C57" s="5" t="s">
        <v>115</v>
      </c>
      <c r="D57" s="6">
        <v>16918.04</v>
      </c>
    </row>
    <row r="58" spans="1:4" s="3" customFormat="1" ht="16.149999999999999" customHeight="1" x14ac:dyDescent="0.45">
      <c r="A58" s="7" t="s">
        <v>116</v>
      </c>
      <c r="B58" s="8" t="s">
        <v>6</v>
      </c>
      <c r="C58" s="8" t="s">
        <v>117</v>
      </c>
      <c r="D58" s="9">
        <v>12443.57</v>
      </c>
    </row>
    <row r="59" spans="1:4" s="3" customFormat="1" ht="16.149999999999999" customHeight="1" x14ac:dyDescent="0.45">
      <c r="A59" s="4" t="s">
        <v>118</v>
      </c>
      <c r="B59" s="5" t="s">
        <v>6</v>
      </c>
      <c r="C59" s="5" t="s">
        <v>119</v>
      </c>
      <c r="D59" s="6">
        <v>14859.07</v>
      </c>
    </row>
    <row r="60" spans="1:4" s="3" customFormat="1" ht="16.149999999999999" customHeight="1" x14ac:dyDescent="0.45">
      <c r="A60" s="7" t="s">
        <v>120</v>
      </c>
      <c r="B60" s="8" t="s">
        <v>6</v>
      </c>
      <c r="C60" s="8" t="s">
        <v>121</v>
      </c>
      <c r="D60" s="9">
        <v>17274.580000000002</v>
      </c>
    </row>
    <row r="61" spans="1:4" s="3" customFormat="1" ht="16.149999999999999" customHeight="1" x14ac:dyDescent="0.45">
      <c r="A61" s="4" t="s">
        <v>122</v>
      </c>
      <c r="B61" s="5" t="s">
        <v>6</v>
      </c>
      <c r="C61" s="5" t="s">
        <v>123</v>
      </c>
      <c r="D61" s="6">
        <v>12443.57</v>
      </c>
    </row>
    <row r="62" spans="1:4" s="3" customFormat="1" ht="16.149999999999999" customHeight="1" x14ac:dyDescent="0.45">
      <c r="A62" s="7" t="s">
        <v>124</v>
      </c>
      <c r="B62" s="8" t="s">
        <v>6</v>
      </c>
      <c r="C62" s="8" t="s">
        <v>125</v>
      </c>
      <c r="D62" s="9">
        <v>14680.81</v>
      </c>
    </row>
    <row r="63" spans="1:4" s="3" customFormat="1" ht="16.149999999999999" customHeight="1" x14ac:dyDescent="0.45">
      <c r="A63" s="4" t="s">
        <v>126</v>
      </c>
      <c r="B63" s="5" t="s">
        <v>6</v>
      </c>
      <c r="C63" s="5" t="s">
        <v>127</v>
      </c>
      <c r="D63" s="6">
        <v>16918.04</v>
      </c>
    </row>
    <row r="64" spans="1:4" s="3" customFormat="1" ht="16.149999999999999" customHeight="1" x14ac:dyDescent="0.45">
      <c r="A64" s="7" t="s">
        <v>128</v>
      </c>
      <c r="B64" s="8" t="s">
        <v>6</v>
      </c>
      <c r="C64" s="8" t="s">
        <v>129</v>
      </c>
      <c r="D64" s="9">
        <v>4156.42</v>
      </c>
    </row>
    <row r="65" spans="1:4" s="3" customFormat="1" ht="16.149999999999999" customHeight="1" x14ac:dyDescent="0.45">
      <c r="A65" s="4" t="s">
        <v>130</v>
      </c>
      <c r="B65" s="5" t="s">
        <v>6</v>
      </c>
      <c r="C65" s="5" t="s">
        <v>131</v>
      </c>
      <c r="D65" s="6">
        <v>5541.89</v>
      </c>
    </row>
    <row r="66" spans="1:4" s="3" customFormat="1" ht="16.149999999999999" customHeight="1" x14ac:dyDescent="0.45">
      <c r="A66" s="7" t="s">
        <v>132</v>
      </c>
      <c r="B66" s="8" t="s">
        <v>6</v>
      </c>
      <c r="C66" s="8" t="s">
        <v>133</v>
      </c>
      <c r="D66" s="9">
        <v>10902.26</v>
      </c>
    </row>
    <row r="67" spans="1:4" s="3" customFormat="1" ht="16.149999999999999" customHeight="1" x14ac:dyDescent="0.45">
      <c r="A67" s="4" t="s">
        <v>134</v>
      </c>
      <c r="B67" s="5" t="s">
        <v>6</v>
      </c>
      <c r="C67" s="5" t="s">
        <v>135</v>
      </c>
      <c r="D67" s="6">
        <v>11984.56</v>
      </c>
    </row>
    <row r="68" spans="1:4" s="3" customFormat="1" ht="16.149999999999999" customHeight="1" x14ac:dyDescent="0.45">
      <c r="A68" s="7" t="s">
        <v>136</v>
      </c>
      <c r="B68" s="8" t="s">
        <v>6</v>
      </c>
      <c r="C68" s="8" t="s">
        <v>137</v>
      </c>
      <c r="D68" s="9">
        <v>14394.96</v>
      </c>
    </row>
    <row r="69" spans="1:4" s="3" customFormat="1" ht="16.149999999999999" customHeight="1" x14ac:dyDescent="0.45">
      <c r="A69" s="4" t="s">
        <v>138</v>
      </c>
      <c r="B69" s="5" t="s">
        <v>6</v>
      </c>
      <c r="C69" s="5" t="s">
        <v>139</v>
      </c>
      <c r="D69" s="6">
        <v>16805.36</v>
      </c>
    </row>
    <row r="70" spans="1:4" s="3" customFormat="1" ht="16.149999999999999" customHeight="1" x14ac:dyDescent="0.45">
      <c r="A70" s="7" t="s">
        <v>140</v>
      </c>
      <c r="B70" s="8" t="s">
        <v>6</v>
      </c>
      <c r="C70" s="8" t="s">
        <v>141</v>
      </c>
      <c r="D70" s="9">
        <v>4522.28</v>
      </c>
    </row>
    <row r="71" spans="1:4" s="3" customFormat="1" ht="16.149999999999999" customHeight="1" x14ac:dyDescent="0.45">
      <c r="A71" s="4" t="s">
        <v>142</v>
      </c>
      <c r="B71" s="5" t="s">
        <v>6</v>
      </c>
      <c r="C71" s="5" t="s">
        <v>143</v>
      </c>
      <c r="D71" s="6">
        <v>6029.7</v>
      </c>
    </row>
    <row r="72" spans="1:4" s="3" customFormat="1" ht="16.149999999999999" customHeight="1" x14ac:dyDescent="0.45">
      <c r="A72" s="7" t="s">
        <v>144</v>
      </c>
      <c r="B72" s="8" t="s">
        <v>6</v>
      </c>
      <c r="C72" s="8" t="s">
        <v>145</v>
      </c>
      <c r="D72" s="9">
        <v>10018.959999999999</v>
      </c>
    </row>
    <row r="73" spans="1:4" s="3" customFormat="1" ht="16.149999999999999" customHeight="1" x14ac:dyDescent="0.45">
      <c r="A73" s="4" t="s">
        <v>146</v>
      </c>
      <c r="B73" s="5" t="s">
        <v>6</v>
      </c>
      <c r="C73" s="5" t="s">
        <v>147</v>
      </c>
      <c r="D73" s="6">
        <v>3381.71</v>
      </c>
    </row>
    <row r="74" spans="1:4" s="3" customFormat="1" ht="16.149999999999999" customHeight="1" x14ac:dyDescent="0.45">
      <c r="A74" s="7" t="s">
        <v>148</v>
      </c>
      <c r="B74" s="8" t="s">
        <v>6</v>
      </c>
      <c r="C74" s="8" t="s">
        <v>149</v>
      </c>
      <c r="D74" s="9">
        <v>4508.95</v>
      </c>
    </row>
    <row r="75" spans="1:4" s="3" customFormat="1" ht="16.149999999999999" customHeight="1" x14ac:dyDescent="0.45">
      <c r="A75" s="4" t="s">
        <v>150</v>
      </c>
      <c r="B75" s="5" t="s">
        <v>6</v>
      </c>
      <c r="C75" s="5" t="s">
        <v>151</v>
      </c>
      <c r="D75" s="6">
        <v>8458.7800000000007</v>
      </c>
    </row>
    <row r="76" spans="1:4" s="3" customFormat="1" ht="16.149999999999999" customHeight="1" x14ac:dyDescent="0.45">
      <c r="A76" s="7" t="s">
        <v>152</v>
      </c>
      <c r="B76" s="8" t="s">
        <v>6</v>
      </c>
      <c r="C76" s="8" t="s">
        <v>153</v>
      </c>
      <c r="D76" s="9">
        <v>2607.13</v>
      </c>
    </row>
    <row r="77" spans="1:4" s="3" customFormat="1" ht="16.149999999999999" customHeight="1" x14ac:dyDescent="0.45">
      <c r="A77" s="4" t="s">
        <v>154</v>
      </c>
      <c r="B77" s="5" t="s">
        <v>6</v>
      </c>
      <c r="C77" s="5" t="s">
        <v>155</v>
      </c>
      <c r="D77" s="6">
        <v>12443.57</v>
      </c>
    </row>
    <row r="78" spans="1:4" s="3" customFormat="1" ht="16.149999999999999" customHeight="1" x14ac:dyDescent="0.45">
      <c r="A78" s="7" t="s">
        <v>156</v>
      </c>
      <c r="B78" s="8" t="s">
        <v>6</v>
      </c>
      <c r="C78" s="8" t="s">
        <v>157</v>
      </c>
      <c r="D78" s="9">
        <v>5571.47</v>
      </c>
    </row>
    <row r="79" spans="1:4" s="3" customFormat="1" ht="16.149999999999999" customHeight="1" x14ac:dyDescent="0.45">
      <c r="A79" s="4" t="s">
        <v>158</v>
      </c>
      <c r="B79" s="5" t="s">
        <v>6</v>
      </c>
      <c r="C79" s="5" t="s">
        <v>159</v>
      </c>
      <c r="D79" s="6">
        <v>7428.63</v>
      </c>
    </row>
    <row r="80" spans="1:4" s="3" customFormat="1" ht="16.149999999999999" customHeight="1" x14ac:dyDescent="0.45">
      <c r="A80" s="7" t="s">
        <v>160</v>
      </c>
      <c r="B80" s="8" t="s">
        <v>6</v>
      </c>
      <c r="C80" s="8" t="s">
        <v>161</v>
      </c>
      <c r="D80" s="9">
        <v>12127.97</v>
      </c>
    </row>
    <row r="81" spans="1:4" s="3" customFormat="1" ht="16.149999999999999" customHeight="1" x14ac:dyDescent="0.45">
      <c r="A81" s="4" t="s">
        <v>162</v>
      </c>
      <c r="B81" s="5" t="s">
        <v>6</v>
      </c>
      <c r="C81" s="5" t="s">
        <v>163</v>
      </c>
      <c r="D81" s="6">
        <v>2632.13</v>
      </c>
    </row>
    <row r="82" spans="1:4" s="3" customFormat="1" ht="16.149999999999999" customHeight="1" x14ac:dyDescent="0.45">
      <c r="A82" s="7" t="s">
        <v>164</v>
      </c>
      <c r="B82" s="8" t="s">
        <v>6</v>
      </c>
      <c r="C82" s="8" t="s">
        <v>165</v>
      </c>
      <c r="D82" s="9">
        <v>2275.2800000000002</v>
      </c>
    </row>
    <row r="83" spans="1:4" s="3" customFormat="1" ht="16.149999999999999" customHeight="1" x14ac:dyDescent="0.45">
      <c r="A83" s="4" t="s">
        <v>166</v>
      </c>
      <c r="B83" s="5" t="s">
        <v>6</v>
      </c>
      <c r="C83" s="5" t="s">
        <v>167</v>
      </c>
      <c r="D83" s="6">
        <v>4558.17</v>
      </c>
    </row>
    <row r="84" spans="1:4" s="3" customFormat="1" ht="16.149999999999999" customHeight="1" x14ac:dyDescent="0.45">
      <c r="A84" s="7" t="s">
        <v>168</v>
      </c>
      <c r="B84" s="8" t="s">
        <v>6</v>
      </c>
      <c r="C84" s="8" t="s">
        <v>169</v>
      </c>
      <c r="D84" s="9">
        <v>6077.57</v>
      </c>
    </row>
    <row r="85" spans="1:4" s="3" customFormat="1" ht="16.149999999999999" customHeight="1" x14ac:dyDescent="0.45">
      <c r="A85" s="4" t="s">
        <v>170</v>
      </c>
      <c r="B85" s="5" t="s">
        <v>6</v>
      </c>
      <c r="C85" s="5" t="s">
        <v>171</v>
      </c>
      <c r="D85" s="6">
        <v>11759</v>
      </c>
    </row>
    <row r="86" spans="1:4" s="3" customFormat="1" ht="16.149999999999999" customHeight="1" x14ac:dyDescent="0.45">
      <c r="A86" s="7" t="s">
        <v>172</v>
      </c>
      <c r="B86" s="8" t="s">
        <v>6</v>
      </c>
      <c r="C86" s="8" t="s">
        <v>173</v>
      </c>
      <c r="D86" s="9">
        <v>3523.08</v>
      </c>
    </row>
    <row r="87" spans="1:4" s="3" customFormat="1" ht="16.149999999999999" customHeight="1" x14ac:dyDescent="0.45">
      <c r="A87" s="4" t="s">
        <v>174</v>
      </c>
      <c r="B87" s="5" t="s">
        <v>6</v>
      </c>
      <c r="C87" s="5" t="s">
        <v>175</v>
      </c>
      <c r="D87" s="6">
        <v>4697.4399999999996</v>
      </c>
    </row>
    <row r="88" spans="1:4" s="3" customFormat="1" ht="16.149999999999999" customHeight="1" x14ac:dyDescent="0.45">
      <c r="A88" s="7" t="s">
        <v>176</v>
      </c>
      <c r="B88" s="8" t="s">
        <v>6</v>
      </c>
      <c r="C88" s="8" t="s">
        <v>177</v>
      </c>
      <c r="D88" s="9">
        <v>7747.73</v>
      </c>
    </row>
    <row r="89" spans="1:4" s="3" customFormat="1" ht="16.149999999999999" customHeight="1" x14ac:dyDescent="0.45">
      <c r="A89" s="4" t="s">
        <v>178</v>
      </c>
      <c r="B89" s="5" t="s">
        <v>6</v>
      </c>
      <c r="C89" s="5" t="s">
        <v>179</v>
      </c>
      <c r="D89" s="6">
        <v>2421.62</v>
      </c>
    </row>
    <row r="90" spans="1:4" s="3" customFormat="1" ht="16.149999999999999" customHeight="1" x14ac:dyDescent="0.45">
      <c r="A90" s="7" t="s">
        <v>180</v>
      </c>
      <c r="B90" s="8" t="s">
        <v>6</v>
      </c>
      <c r="C90" s="8" t="s">
        <v>181</v>
      </c>
      <c r="D90" s="9">
        <v>3228.83</v>
      </c>
    </row>
    <row r="91" spans="1:4" s="3" customFormat="1" ht="16.149999999999999" customHeight="1" x14ac:dyDescent="0.45">
      <c r="A91" s="4" t="s">
        <v>182</v>
      </c>
      <c r="B91" s="5" t="s">
        <v>6</v>
      </c>
      <c r="C91" s="5" t="s">
        <v>183</v>
      </c>
      <c r="D91" s="6">
        <v>4110.7299999999996</v>
      </c>
    </row>
    <row r="92" spans="1:4" s="3" customFormat="1" ht="16.149999999999999" customHeight="1" x14ac:dyDescent="0.45">
      <c r="A92" s="7" t="s">
        <v>184</v>
      </c>
      <c r="B92" s="8" t="s">
        <v>6</v>
      </c>
      <c r="C92" s="8" t="s">
        <v>185</v>
      </c>
      <c r="D92" s="9">
        <v>3036.94</v>
      </c>
    </row>
    <row r="93" spans="1:4" s="3" customFormat="1" ht="16.149999999999999" customHeight="1" x14ac:dyDescent="0.45">
      <c r="A93" s="4" t="s">
        <v>186</v>
      </c>
      <c r="B93" s="5" t="s">
        <v>6</v>
      </c>
      <c r="C93" s="5" t="s">
        <v>187</v>
      </c>
      <c r="D93" s="6">
        <v>4594.41</v>
      </c>
    </row>
    <row r="94" spans="1:4" s="3" customFormat="1" ht="16.149999999999999" customHeight="1" x14ac:dyDescent="0.45">
      <c r="A94" s="7" t="s">
        <v>188</v>
      </c>
      <c r="B94" s="8" t="s">
        <v>6</v>
      </c>
      <c r="C94" s="8" t="s">
        <v>189</v>
      </c>
      <c r="D94" s="9">
        <v>6125.87</v>
      </c>
    </row>
    <row r="95" spans="1:4" s="3" customFormat="1" ht="16.149999999999999" customHeight="1" x14ac:dyDescent="0.45">
      <c r="A95" s="4" t="s">
        <v>190</v>
      </c>
      <c r="B95" s="5" t="s">
        <v>6</v>
      </c>
      <c r="C95" s="5" t="s">
        <v>191</v>
      </c>
      <c r="D95" s="6">
        <v>9815.33</v>
      </c>
    </row>
    <row r="96" spans="1:4" s="3" customFormat="1" ht="16.149999999999999" customHeight="1" x14ac:dyDescent="0.45">
      <c r="A96" s="7" t="s">
        <v>192</v>
      </c>
      <c r="B96" s="8" t="s">
        <v>6</v>
      </c>
      <c r="C96" s="8" t="s">
        <v>193</v>
      </c>
      <c r="D96" s="9">
        <v>2312.5500000000002</v>
      </c>
    </row>
    <row r="97" spans="1:5" s="3" customFormat="1" ht="16.149999999999999" customHeight="1" x14ac:dyDescent="0.45">
      <c r="A97" s="4" t="s">
        <v>194</v>
      </c>
      <c r="B97" s="5" t="s">
        <v>6</v>
      </c>
      <c r="C97" s="5" t="s">
        <v>195</v>
      </c>
      <c r="D97" s="6">
        <v>3109.33</v>
      </c>
    </row>
    <row r="98" spans="1:5" s="3" customFormat="1" ht="16.149999999999999" customHeight="1" x14ac:dyDescent="0.45">
      <c r="A98" s="7" t="s">
        <v>196</v>
      </c>
      <c r="B98" s="8" t="s">
        <v>6</v>
      </c>
      <c r="C98" s="8" t="s">
        <v>197</v>
      </c>
      <c r="D98" s="9">
        <v>3396.84</v>
      </c>
    </row>
    <row r="99" spans="1:5" s="3" customFormat="1" ht="16.149999999999999" customHeight="1" x14ac:dyDescent="0.45">
      <c r="A99" s="4" t="s">
        <v>198</v>
      </c>
      <c r="B99" s="5" t="s">
        <v>6</v>
      </c>
      <c r="C99" s="5" t="s">
        <v>199</v>
      </c>
      <c r="D99" s="6">
        <v>4601.83</v>
      </c>
      <c r="E99" s="10"/>
    </row>
    <row r="100" spans="1:5" s="3" customFormat="1" ht="16.149999999999999" customHeight="1" x14ac:dyDescent="0.45">
      <c r="A100" s="7" t="s">
        <v>200</v>
      </c>
      <c r="B100" s="8" t="s">
        <v>6</v>
      </c>
      <c r="C100" s="8" t="s">
        <v>201</v>
      </c>
      <c r="D100" s="9">
        <v>3003.73</v>
      </c>
    </row>
    <row r="101" spans="1:5" s="3" customFormat="1" ht="16.149999999999999" customHeight="1" x14ac:dyDescent="0.45">
      <c r="A101" s="4" t="s">
        <v>202</v>
      </c>
      <c r="B101" s="5" t="s">
        <v>6</v>
      </c>
      <c r="C101" s="5" t="s">
        <v>203</v>
      </c>
      <c r="D101" s="6">
        <v>2701.65</v>
      </c>
    </row>
    <row r="102" spans="1:5" s="3" customFormat="1" ht="16.149999999999999" customHeight="1" x14ac:dyDescent="0.45">
      <c r="A102" s="7" t="s">
        <v>204</v>
      </c>
      <c r="B102" s="8" t="s">
        <v>6</v>
      </c>
      <c r="C102" s="8" t="s">
        <v>205</v>
      </c>
      <c r="D102" s="9">
        <v>5000</v>
      </c>
    </row>
    <row r="103" spans="1:5" s="3" customFormat="1" ht="16.149999999999999" customHeight="1" x14ac:dyDescent="0.45">
      <c r="A103" s="4" t="s">
        <v>206</v>
      </c>
      <c r="B103" s="5" t="s">
        <v>6</v>
      </c>
      <c r="C103" s="5" t="s">
        <v>207</v>
      </c>
      <c r="D103" s="6">
        <v>3000</v>
      </c>
    </row>
    <row r="104" spans="1:5" s="3" customFormat="1" ht="16.149999999999999" customHeight="1" x14ac:dyDescent="0.45">
      <c r="A104" s="7" t="s">
        <v>208</v>
      </c>
      <c r="B104" s="8" t="s">
        <v>6</v>
      </c>
      <c r="C104" s="8" t="s">
        <v>209</v>
      </c>
      <c r="D104" s="9">
        <v>3680</v>
      </c>
    </row>
    <row r="105" spans="1:5" ht="16.149999999999999" customHeight="1" x14ac:dyDescent="0.45">
      <c r="A105" s="4" t="s">
        <v>210</v>
      </c>
      <c r="B105" s="5" t="s">
        <v>6</v>
      </c>
      <c r="C105" s="5" t="s">
        <v>211</v>
      </c>
      <c r="D105" s="6">
        <v>4850</v>
      </c>
    </row>
    <row r="106" spans="1:5" ht="16.149999999999999" customHeight="1" x14ac:dyDescent="0.45">
      <c r="A106" s="7" t="s">
        <v>212</v>
      </c>
      <c r="B106" s="8" t="s">
        <v>6</v>
      </c>
      <c r="C106" s="8" t="s">
        <v>213</v>
      </c>
      <c r="D106" s="9">
        <v>3200</v>
      </c>
    </row>
    <row r="107" spans="1:5" ht="16.149999999999999" customHeight="1" x14ac:dyDescent="0.45">
      <c r="A107" s="4" t="s">
        <v>214</v>
      </c>
      <c r="B107" s="5" t="s">
        <v>6</v>
      </c>
      <c r="C107" s="5" t="s">
        <v>215</v>
      </c>
      <c r="D107" s="6">
        <v>3350</v>
      </c>
    </row>
    <row r="108" spans="1:5" ht="16.149999999999999" customHeight="1" x14ac:dyDescent="0.45">
      <c r="A108" s="7" t="s">
        <v>216</v>
      </c>
      <c r="B108" s="8" t="s">
        <v>6</v>
      </c>
      <c r="C108" s="8" t="s">
        <v>217</v>
      </c>
      <c r="D108" s="9">
        <f>2100+100</f>
        <v>2200</v>
      </c>
    </row>
    <row r="109" spans="1:5" ht="16.149999999999999" customHeight="1" x14ac:dyDescent="0.45">
      <c r="A109" s="4" t="s">
        <v>218</v>
      </c>
      <c r="B109" s="5" t="s">
        <v>6</v>
      </c>
      <c r="C109" s="5" t="s">
        <v>219</v>
      </c>
      <c r="D109" s="6">
        <v>1625</v>
      </c>
    </row>
    <row r="110" spans="1:5" ht="16.149999999999999" customHeight="1" x14ac:dyDescent="0.45">
      <c r="A110" s="7" t="s">
        <v>220</v>
      </c>
      <c r="B110" s="8" t="s">
        <v>6</v>
      </c>
      <c r="C110" s="8" t="s">
        <v>221</v>
      </c>
      <c r="D110" s="9">
        <f>950+100</f>
        <v>1050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F6DE-E614-4845-882E-1AAFB6475547}">
  <sheetPr>
    <pageSetUpPr fitToPage="1"/>
  </sheetPr>
  <dimension ref="A1:O949"/>
  <sheetViews>
    <sheetView view="pageBreakPreview" topLeftCell="A46" zoomScale="88" zoomScaleNormal="160" zoomScaleSheetLayoutView="88" workbookViewId="0">
      <selection activeCell="J77" sqref="J77"/>
    </sheetView>
  </sheetViews>
  <sheetFormatPr defaultColWidth="13.3984375" defaultRowHeight="15" customHeight="1" x14ac:dyDescent="0.45"/>
  <cols>
    <col min="1" max="1" width="42.1328125" style="16" bestFit="1" customWidth="1"/>
    <col min="2" max="2" width="5.1328125" style="16" bestFit="1" customWidth="1"/>
    <col min="3" max="3" width="4.796875" style="16" bestFit="1" customWidth="1"/>
    <col min="4" max="4" width="8.06640625" style="16" bestFit="1" customWidth="1"/>
    <col min="5" max="5" width="6.59765625" style="16" customWidth="1"/>
    <col min="6" max="6" width="8.59765625" style="16" customWidth="1"/>
    <col min="7" max="7" width="5" style="16" bestFit="1" customWidth="1"/>
    <col min="8" max="8" width="9.265625" style="16" bestFit="1" customWidth="1"/>
    <col min="9" max="9" width="8" style="16" bestFit="1" customWidth="1"/>
    <col min="10" max="10" width="11.19921875" style="16" bestFit="1" customWidth="1"/>
    <col min="11" max="11" width="11.19921875" style="16" customWidth="1"/>
    <col min="12" max="13" width="13.3984375" style="15"/>
    <col min="14" max="16384" width="13.3984375" style="16"/>
  </cols>
  <sheetData>
    <row r="1" spans="1:15" ht="18" customHeight="1" x14ac:dyDescent="0.45">
      <c r="A1" s="264"/>
      <c r="B1" s="265" t="s">
        <v>222</v>
      </c>
      <c r="C1" s="267" t="s">
        <v>223</v>
      </c>
      <c r="D1" s="266"/>
      <c r="E1" s="264" t="s">
        <v>224</v>
      </c>
      <c r="F1" s="264" t="s">
        <v>225</v>
      </c>
      <c r="G1" s="267" t="s">
        <v>226</v>
      </c>
      <c r="H1" s="267" t="s">
        <v>227</v>
      </c>
      <c r="I1" s="267" t="s">
        <v>228</v>
      </c>
      <c r="J1" s="267" t="s">
        <v>229</v>
      </c>
      <c r="K1" s="14"/>
    </row>
    <row r="2" spans="1:15" ht="18" customHeight="1" x14ac:dyDescent="0.45">
      <c r="A2" s="264"/>
      <c r="B2" s="266"/>
      <c r="C2" s="13" t="s">
        <v>230</v>
      </c>
      <c r="D2" s="13" t="s">
        <v>231</v>
      </c>
      <c r="E2" s="268"/>
      <c r="F2" s="268"/>
      <c r="G2" s="266"/>
      <c r="H2" s="266"/>
      <c r="I2" s="266"/>
      <c r="J2" s="266"/>
      <c r="K2" s="17"/>
      <c r="L2" s="18" t="s">
        <v>232</v>
      </c>
      <c r="M2" s="18" t="s">
        <v>233</v>
      </c>
      <c r="N2" s="19" t="s">
        <v>234</v>
      </c>
    </row>
    <row r="3" spans="1:15" ht="14.25" customHeight="1" x14ac:dyDescent="0.45">
      <c r="A3" s="20" t="s">
        <v>235</v>
      </c>
      <c r="B3" s="21">
        <v>1</v>
      </c>
      <c r="C3" s="22" t="s">
        <v>205</v>
      </c>
      <c r="D3" s="23">
        <f>VLOOKUP(C3,'[3]Tabela DNIT Janeiro_2026'!$C$3:$D$110,2,FALSE)</f>
        <v>5000</v>
      </c>
      <c r="E3" s="24">
        <v>5</v>
      </c>
      <c r="F3" s="23">
        <f>(D3)*B3/2</f>
        <v>2500</v>
      </c>
      <c r="G3" s="25">
        <v>30</v>
      </c>
      <c r="H3" s="25" t="s">
        <v>236</v>
      </c>
      <c r="I3" s="26">
        <v>0</v>
      </c>
      <c r="J3" s="27">
        <f t="shared" ref="J3:J19" si="0">F3*G3*(1+I3)</f>
        <v>75000</v>
      </c>
      <c r="K3" s="28">
        <v>240000</v>
      </c>
      <c r="L3" s="29">
        <f>IF(H3="bolsa",B3,"-")</f>
        <v>1</v>
      </c>
      <c r="M3" s="29" t="str">
        <f>IF(H3&lt;&gt;"bolsa",B3,"-")</f>
        <v>-</v>
      </c>
      <c r="N3" s="30">
        <f>(J18+J19+J17)/J77</f>
        <v>4.2182868458068526E-2</v>
      </c>
      <c r="O3" s="31"/>
    </row>
    <row r="4" spans="1:15" ht="14.25" customHeight="1" x14ac:dyDescent="0.45">
      <c r="A4" s="32" t="s">
        <v>237</v>
      </c>
      <c r="B4" s="33">
        <v>1</v>
      </c>
      <c r="C4" s="33" t="s">
        <v>109</v>
      </c>
      <c r="D4" s="34">
        <f>VLOOKUP(C4,'[3]Tabela DNIT Janeiro_2026'!$C$3:$D$110,2,FALSE)</f>
        <v>19804.310000000001</v>
      </c>
      <c r="E4" s="35">
        <v>50</v>
      </c>
      <c r="F4" s="36">
        <f>(D4/200)*E4*B4</f>
        <v>4951.0775000000003</v>
      </c>
      <c r="G4" s="35">
        <v>30</v>
      </c>
      <c r="H4" s="35" t="s">
        <v>238</v>
      </c>
      <c r="I4" s="37">
        <v>0.84040000000000004</v>
      </c>
      <c r="J4" s="38">
        <f t="shared" si="0"/>
        <v>273358.89093000005</v>
      </c>
      <c r="K4" s="39">
        <v>374483.478558</v>
      </c>
      <c r="L4" s="29" t="str">
        <f t="shared" ref="L4:L9" si="1">IF(H4="bolsa",B4,"-")</f>
        <v>-</v>
      </c>
      <c r="M4" s="29">
        <f t="shared" ref="M4:M9" si="2">IF(H4&lt;&gt;"bolsa",B4,"-")</f>
        <v>1</v>
      </c>
      <c r="N4" s="40"/>
    </row>
    <row r="5" spans="1:15" ht="14.25" customHeight="1" x14ac:dyDescent="0.45">
      <c r="A5" s="32" t="s">
        <v>239</v>
      </c>
      <c r="B5" s="33">
        <v>1</v>
      </c>
      <c r="C5" s="33" t="s">
        <v>121</v>
      </c>
      <c r="D5" s="41">
        <f>VLOOKUP(C5,'[3]Tabela DNIT Janeiro_2026'!$C$3:$D$110,2,FALSE)</f>
        <v>17274.580000000002</v>
      </c>
      <c r="E5" s="35">
        <v>100</v>
      </c>
      <c r="F5" s="36">
        <f t="shared" ref="F5:F14" si="3">(D5/200)*E5*B5</f>
        <v>8637.2900000000009</v>
      </c>
      <c r="G5" s="35">
        <v>30</v>
      </c>
      <c r="H5" s="35" t="s">
        <v>238</v>
      </c>
      <c r="I5" s="37">
        <v>0.84040000000000004</v>
      </c>
      <c r="J5" s="38">
        <f t="shared" si="0"/>
        <v>476882.05548000004</v>
      </c>
      <c r="K5" s="39">
        <v>561589.18927199999</v>
      </c>
      <c r="L5" s="29" t="str">
        <f t="shared" si="1"/>
        <v>-</v>
      </c>
      <c r="M5" s="29">
        <f t="shared" si="2"/>
        <v>1</v>
      </c>
      <c r="N5" s="40"/>
    </row>
    <row r="6" spans="1:15" ht="14.25" customHeight="1" x14ac:dyDescent="0.45">
      <c r="A6" s="42" t="s">
        <v>240</v>
      </c>
      <c r="B6" s="33">
        <v>1</v>
      </c>
      <c r="C6" s="33" t="s">
        <v>121</v>
      </c>
      <c r="D6" s="34">
        <f>VLOOKUP(C6,'[3]Tabela DNIT Janeiro_2026'!$C$3:$D$110,2,FALSE)</f>
        <v>17274.580000000002</v>
      </c>
      <c r="E6" s="35">
        <v>100</v>
      </c>
      <c r="F6" s="36">
        <f t="shared" si="3"/>
        <v>8637.2900000000009</v>
      </c>
      <c r="G6" s="35">
        <v>30</v>
      </c>
      <c r="H6" s="35" t="s">
        <v>238</v>
      </c>
      <c r="I6" s="37">
        <v>0.84040000000000004</v>
      </c>
      <c r="J6" s="38">
        <f t="shared" si="0"/>
        <v>476882.05548000004</v>
      </c>
      <c r="K6" s="39">
        <v>561589.18927199999</v>
      </c>
      <c r="L6" s="29" t="str">
        <f t="shared" si="1"/>
        <v>-</v>
      </c>
      <c r="M6" s="29">
        <f t="shared" si="2"/>
        <v>1</v>
      </c>
      <c r="N6" s="40"/>
    </row>
    <row r="7" spans="1:15" ht="14.25" customHeight="1" x14ac:dyDescent="0.45">
      <c r="A7" s="42" t="s">
        <v>241</v>
      </c>
      <c r="B7" s="33">
        <v>2</v>
      </c>
      <c r="C7" s="33" t="s">
        <v>117</v>
      </c>
      <c r="D7" s="41">
        <f>VLOOKUP(C7,'[3]Tabela DNIT Janeiro_2026'!$C$3:$D$110,2,FALSE)</f>
        <v>12443.57</v>
      </c>
      <c r="E7" s="35">
        <v>200</v>
      </c>
      <c r="F7" s="36">
        <f t="shared" si="3"/>
        <v>24887.14</v>
      </c>
      <c r="G7" s="35">
        <v>30</v>
      </c>
      <c r="H7" s="35" t="s">
        <v>238</v>
      </c>
      <c r="I7" s="37">
        <v>0.84040000000000004</v>
      </c>
      <c r="J7" s="38">
        <f t="shared" si="0"/>
        <v>1374068.7736799999</v>
      </c>
      <c r="K7" s="39">
        <v>961848.14157600002</v>
      </c>
      <c r="L7" s="29" t="str">
        <f t="shared" si="1"/>
        <v>-</v>
      </c>
      <c r="M7" s="29">
        <f t="shared" si="2"/>
        <v>2</v>
      </c>
      <c r="N7" s="40"/>
    </row>
    <row r="8" spans="1:15" ht="14.25" customHeight="1" x14ac:dyDescent="0.45">
      <c r="A8" s="42" t="s">
        <v>242</v>
      </c>
      <c r="B8" s="33">
        <v>1</v>
      </c>
      <c r="C8" s="33" t="s">
        <v>117</v>
      </c>
      <c r="D8" s="41">
        <f>VLOOKUP(C8,'[3]Tabela DNIT Janeiro_2026'!$C$3:$D$110,2,FALSE)</f>
        <v>12443.57</v>
      </c>
      <c r="E8" s="35">
        <v>100</v>
      </c>
      <c r="F8" s="36">
        <f t="shared" si="3"/>
        <v>6221.7849999999999</v>
      </c>
      <c r="G8" s="35">
        <v>30</v>
      </c>
      <c r="H8" s="35" t="s">
        <v>238</v>
      </c>
      <c r="I8" s="37">
        <v>0.84040000000000004</v>
      </c>
      <c r="J8" s="38">
        <f t="shared" si="0"/>
        <v>343517.19341999997</v>
      </c>
      <c r="K8" s="39">
        <v>687034.38684000005</v>
      </c>
      <c r="L8" s="29" t="str">
        <f t="shared" si="1"/>
        <v>-</v>
      </c>
      <c r="M8" s="29">
        <f t="shared" si="2"/>
        <v>1</v>
      </c>
      <c r="N8" s="40"/>
    </row>
    <row r="9" spans="1:15" ht="14.25" customHeight="1" x14ac:dyDescent="0.45">
      <c r="A9" s="43" t="s">
        <v>243</v>
      </c>
      <c r="B9" s="33">
        <v>1</v>
      </c>
      <c r="C9" s="33" t="s">
        <v>25</v>
      </c>
      <c r="D9" s="41">
        <f>VLOOKUP(C9,'[3]Tabela DNIT Janeiro_2026'!$C$3:$D$110,2,FALSE)</f>
        <v>10201.290000000001</v>
      </c>
      <c r="E9" s="35">
        <v>200</v>
      </c>
      <c r="F9" s="36">
        <f t="shared" si="3"/>
        <v>10201.290000000001</v>
      </c>
      <c r="G9" s="35">
        <v>24</v>
      </c>
      <c r="H9" s="35" t="s">
        <v>238</v>
      </c>
      <c r="I9" s="37">
        <v>0.84040000000000004</v>
      </c>
      <c r="J9" s="38">
        <f t="shared" si="0"/>
        <v>450586.89878400002</v>
      </c>
      <c r="K9" s="39">
        <v>297663.09738479997</v>
      </c>
      <c r="L9" s="29" t="str">
        <f t="shared" si="1"/>
        <v>-</v>
      </c>
      <c r="M9" s="29">
        <f t="shared" si="2"/>
        <v>1</v>
      </c>
      <c r="N9" s="40"/>
    </row>
    <row r="10" spans="1:15" ht="14.25" customHeight="1" x14ac:dyDescent="0.45">
      <c r="A10" s="43" t="s">
        <v>244</v>
      </c>
      <c r="B10" s="33">
        <v>1</v>
      </c>
      <c r="C10" s="33" t="s">
        <v>25</v>
      </c>
      <c r="D10" s="41">
        <f>VLOOKUP(C10,'[4]Tabela DNIT Janeiro_2026'!$C$3:$D$110,2,FALSE)</f>
        <v>10201.290000000001</v>
      </c>
      <c r="E10" s="35">
        <v>100</v>
      </c>
      <c r="F10" s="36">
        <f t="shared" ref="F10:F11" si="4">B10*(D10/200)*E10</f>
        <v>5100.6450000000004</v>
      </c>
      <c r="G10" s="44">
        <v>24</v>
      </c>
      <c r="H10" s="35" t="s">
        <v>238</v>
      </c>
      <c r="I10" s="45">
        <v>0.84040000000000004</v>
      </c>
      <c r="J10" s="38">
        <f t="shared" si="0"/>
        <v>225293.44939200001</v>
      </c>
      <c r="K10" s="46">
        <v>432000</v>
      </c>
      <c r="L10" s="29">
        <f t="shared" ref="L10:L17" si="5">IF(H12="bolsa",B12,"-")</f>
        <v>3</v>
      </c>
      <c r="M10" s="29" t="str">
        <f t="shared" ref="M10:M17" si="6">IF(H12&lt;&gt;"bolsa",B12,"-")</f>
        <v>-</v>
      </c>
      <c r="N10" s="40"/>
    </row>
    <row r="11" spans="1:15" ht="14.25" customHeight="1" x14ac:dyDescent="0.45">
      <c r="A11" s="43" t="s">
        <v>245</v>
      </c>
      <c r="B11" s="33">
        <v>1</v>
      </c>
      <c r="C11" s="33" t="s">
        <v>25</v>
      </c>
      <c r="D11" s="41">
        <f>VLOOKUP(C11,'[4]Tabela DNIT Janeiro_2026'!$C$3:$D$110,2,FALSE)</f>
        <v>10201.290000000001</v>
      </c>
      <c r="E11" s="35">
        <v>100</v>
      </c>
      <c r="F11" s="36">
        <f t="shared" si="4"/>
        <v>5100.6450000000004</v>
      </c>
      <c r="G11" s="44">
        <v>24</v>
      </c>
      <c r="H11" s="35" t="s">
        <v>238</v>
      </c>
      <c r="I11" s="45">
        <v>0.84040000000000004</v>
      </c>
      <c r="J11" s="38">
        <f t="shared" si="0"/>
        <v>225293.44939200001</v>
      </c>
      <c r="K11" s="46">
        <v>226800</v>
      </c>
      <c r="L11" s="29">
        <f t="shared" si="5"/>
        <v>6</v>
      </c>
      <c r="M11" s="29" t="str">
        <f t="shared" si="6"/>
        <v>-</v>
      </c>
      <c r="N11" s="40"/>
    </row>
    <row r="12" spans="1:15" ht="14.25" customHeight="1" x14ac:dyDescent="0.45">
      <c r="A12" s="47" t="s">
        <v>246</v>
      </c>
      <c r="B12" s="33">
        <v>3</v>
      </c>
      <c r="C12" s="33" t="s">
        <v>207</v>
      </c>
      <c r="D12" s="41">
        <f>VLOOKUP(C12,'[3]Tabela DNIT Janeiro_2026'!$C$3:$D$110,2,FALSE)</f>
        <v>3000</v>
      </c>
      <c r="E12" s="35">
        <v>100</v>
      </c>
      <c r="F12" s="36">
        <f t="shared" si="3"/>
        <v>4500</v>
      </c>
      <c r="G12" s="35">
        <v>30</v>
      </c>
      <c r="H12" s="35" t="s">
        <v>236</v>
      </c>
      <c r="I12" s="48">
        <v>0</v>
      </c>
      <c r="J12" s="38">
        <f t="shared" si="0"/>
        <v>135000</v>
      </c>
      <c r="K12" s="46">
        <v>158400</v>
      </c>
      <c r="L12" s="29">
        <f t="shared" si="5"/>
        <v>2</v>
      </c>
      <c r="M12" s="29" t="str">
        <f t="shared" si="6"/>
        <v>-</v>
      </c>
      <c r="N12" s="49"/>
    </row>
    <row r="13" spans="1:15" s="49" customFormat="1" ht="14.25" customHeight="1" x14ac:dyDescent="0.45">
      <c r="A13" s="47" t="s">
        <v>247</v>
      </c>
      <c r="B13" s="33">
        <v>6</v>
      </c>
      <c r="C13" s="33" t="s">
        <v>221</v>
      </c>
      <c r="D13" s="41">
        <f>VLOOKUP(C13,'[3]Tabela DNIT Janeiro_2026'!$C$3:$D$110,2,FALSE)</f>
        <v>1050</v>
      </c>
      <c r="E13" s="35">
        <v>100</v>
      </c>
      <c r="F13" s="36">
        <f t="shared" si="3"/>
        <v>3150</v>
      </c>
      <c r="G13" s="35">
        <v>30</v>
      </c>
      <c r="H13" s="35" t="s">
        <v>236</v>
      </c>
      <c r="I13" s="48">
        <v>0</v>
      </c>
      <c r="J13" s="38">
        <f t="shared" si="0"/>
        <v>94500</v>
      </c>
      <c r="K13" s="46">
        <v>230400</v>
      </c>
      <c r="L13" s="29">
        <f t="shared" si="5"/>
        <v>2</v>
      </c>
      <c r="M13" s="29" t="str">
        <f t="shared" si="6"/>
        <v>-</v>
      </c>
      <c r="N13" s="40"/>
    </row>
    <row r="14" spans="1:15" ht="14.25" customHeight="1" x14ac:dyDescent="0.45">
      <c r="A14" s="42" t="s">
        <v>248</v>
      </c>
      <c r="B14" s="33">
        <v>2</v>
      </c>
      <c r="C14" s="50" t="s">
        <v>217</v>
      </c>
      <c r="D14" s="41">
        <f>VLOOKUP(C14,'[3]Tabela DNIT Janeiro_2026'!$C$3:$D$110,2,FALSE)</f>
        <v>2200</v>
      </c>
      <c r="E14" s="35">
        <v>100</v>
      </c>
      <c r="F14" s="36">
        <f t="shared" si="3"/>
        <v>2200</v>
      </c>
      <c r="G14" s="35">
        <v>30</v>
      </c>
      <c r="H14" s="35" t="s">
        <v>236</v>
      </c>
      <c r="I14" s="48">
        <v>0</v>
      </c>
      <c r="J14" s="38">
        <f t="shared" si="0"/>
        <v>66000</v>
      </c>
      <c r="K14" s="51">
        <v>59939.25144</v>
      </c>
      <c r="L14" s="29" t="str">
        <f t="shared" si="5"/>
        <v>-</v>
      </c>
      <c r="M14" s="29">
        <f t="shared" si="6"/>
        <v>1</v>
      </c>
      <c r="N14" s="40"/>
    </row>
    <row r="15" spans="1:15" ht="14.25" customHeight="1" x14ac:dyDescent="0.45">
      <c r="A15" s="42" t="s">
        <v>249</v>
      </c>
      <c r="B15" s="33">
        <v>2</v>
      </c>
      <c r="C15" s="52" t="s">
        <v>213</v>
      </c>
      <c r="D15" s="41">
        <f>VLOOKUP(C15,'[3]Tabela DNIT Janeiro_2026'!$C$3:$D$110,2,FALSE)</f>
        <v>3200</v>
      </c>
      <c r="E15" s="35">
        <v>100</v>
      </c>
      <c r="F15" s="36">
        <f>(D15/200)*E15*B15</f>
        <v>3200</v>
      </c>
      <c r="G15" s="35">
        <v>30</v>
      </c>
      <c r="H15" s="35" t="s">
        <v>236</v>
      </c>
      <c r="I15" s="53">
        <v>0</v>
      </c>
      <c r="J15" s="54">
        <f t="shared" si="0"/>
        <v>96000</v>
      </c>
      <c r="K15" s="51">
        <v>293013.765128</v>
      </c>
      <c r="L15" s="29" t="str">
        <f t="shared" si="5"/>
        <v>-</v>
      </c>
      <c r="M15" s="29">
        <f t="shared" si="6"/>
        <v>1</v>
      </c>
      <c r="N15" s="40"/>
    </row>
    <row r="16" spans="1:15" ht="14.25" customHeight="1" x14ac:dyDescent="0.45">
      <c r="A16" s="55" t="s">
        <v>250</v>
      </c>
      <c r="B16" s="56">
        <v>1</v>
      </c>
      <c r="C16" s="57" t="s">
        <v>183</v>
      </c>
      <c r="D16" s="23">
        <f>VLOOKUP(C16,'[3]Tabela DNIT Janeiro_2026'!$C$3:$D$110,2,FALSE)</f>
        <v>4110.7299999999996</v>
      </c>
      <c r="E16" s="24">
        <v>50</v>
      </c>
      <c r="F16" s="23">
        <f>(D16/200)*E16*B16</f>
        <v>1027.6824999999999</v>
      </c>
      <c r="G16" s="56">
        <v>30</v>
      </c>
      <c r="H16" s="24" t="s">
        <v>238</v>
      </c>
      <c r="I16" s="58">
        <v>0.84040000000000004</v>
      </c>
      <c r="J16" s="59">
        <f t="shared" si="0"/>
        <v>56740.406190000002</v>
      </c>
      <c r="K16" s="28">
        <v>764579.30956800003</v>
      </c>
      <c r="L16" s="29" t="str">
        <f t="shared" si="5"/>
        <v>-</v>
      </c>
      <c r="M16" s="29">
        <f t="shared" si="6"/>
        <v>1</v>
      </c>
      <c r="N16" s="40"/>
    </row>
    <row r="17" spans="1:14" ht="14.25" customHeight="1" x14ac:dyDescent="0.45">
      <c r="A17" s="55" t="s">
        <v>251</v>
      </c>
      <c r="B17" s="56">
        <v>1</v>
      </c>
      <c r="C17" s="57" t="s">
        <v>107</v>
      </c>
      <c r="D17" s="23">
        <f>VLOOKUP(C17,'[3]Tabela DNIT Janeiro_2026'!$C$3:$D$110,2,FALSE)</f>
        <v>23765.17</v>
      </c>
      <c r="E17" s="60">
        <v>50.000603584390468</v>
      </c>
      <c r="F17" s="23">
        <f t="shared" ref="F17:F19" si="7">(D17/200)*E17*B17</f>
        <v>5941.3642214282436</v>
      </c>
      <c r="G17" s="56">
        <v>30</v>
      </c>
      <c r="H17" s="24" t="s">
        <v>252</v>
      </c>
      <c r="I17" s="58">
        <v>0.2</v>
      </c>
      <c r="J17" s="59">
        <f t="shared" si="0"/>
        <v>213889.11197141677</v>
      </c>
      <c r="K17" s="28">
        <v>31500</v>
      </c>
      <c r="L17" s="29">
        <f t="shared" si="5"/>
        <v>9</v>
      </c>
      <c r="M17" s="29" t="str">
        <f t="shared" si="6"/>
        <v>-</v>
      </c>
      <c r="N17" s="40"/>
    </row>
    <row r="18" spans="1:14" ht="14.25" customHeight="1" x14ac:dyDescent="0.45">
      <c r="A18" s="61" t="s">
        <v>253</v>
      </c>
      <c r="B18" s="56">
        <v>1</v>
      </c>
      <c r="C18" s="62" t="s">
        <v>13</v>
      </c>
      <c r="D18" s="23">
        <f>VLOOKUP(C18,'[3]Tabela DNIT Janeiro_2026'!$C$3:$D$110,2,FALSE)</f>
        <v>8887.1</v>
      </c>
      <c r="E18" s="24">
        <v>100</v>
      </c>
      <c r="F18" s="23">
        <f t="shared" si="7"/>
        <v>4443.55</v>
      </c>
      <c r="G18" s="56">
        <v>30</v>
      </c>
      <c r="H18" s="24" t="s">
        <v>238</v>
      </c>
      <c r="I18" s="58">
        <v>0.84040000000000004</v>
      </c>
      <c r="J18" s="63">
        <f t="shared" si="0"/>
        <v>245337.28260000001</v>
      </c>
      <c r="K18" s="64">
        <v>6079281.7580167986</v>
      </c>
      <c r="L18" s="18">
        <f>SUM(L3:L17)</f>
        <v>23</v>
      </c>
      <c r="M18" s="18">
        <f>SUM(M3:M17)</f>
        <v>10</v>
      </c>
    </row>
    <row r="19" spans="1:14" ht="14.25" x14ac:dyDescent="0.45">
      <c r="A19" s="61" t="s">
        <v>247</v>
      </c>
      <c r="B19" s="56">
        <v>9</v>
      </c>
      <c r="C19" s="62" t="s">
        <v>221</v>
      </c>
      <c r="D19" s="23">
        <f>VLOOKUP(C19,'[3]Tabela DNIT Janeiro_2026'!$C$3:$D$110,2,FALSE)</f>
        <v>1050</v>
      </c>
      <c r="E19" s="60">
        <v>100</v>
      </c>
      <c r="F19" s="23">
        <f t="shared" si="7"/>
        <v>4725</v>
      </c>
      <c r="G19" s="56">
        <v>30</v>
      </c>
      <c r="H19" s="24" t="s">
        <v>236</v>
      </c>
      <c r="I19" s="58">
        <v>0</v>
      </c>
      <c r="J19" s="63">
        <f t="shared" si="0"/>
        <v>141750</v>
      </c>
      <c r="K19" s="65"/>
    </row>
    <row r="20" spans="1:14" ht="14.25" customHeight="1" x14ac:dyDescent="0.45">
      <c r="A20" s="269" t="s">
        <v>254</v>
      </c>
      <c r="B20" s="270"/>
      <c r="C20" s="270"/>
      <c r="D20" s="270"/>
      <c r="E20" s="270"/>
      <c r="F20" s="270"/>
      <c r="G20" s="270"/>
      <c r="H20" s="270"/>
      <c r="I20" s="271"/>
      <c r="J20" s="66">
        <f>SUM(J3:J19)</f>
        <v>4970099.5673194164</v>
      </c>
      <c r="K20" s="67"/>
    </row>
    <row r="21" spans="1:14" ht="14.25" customHeight="1" x14ac:dyDescent="0.45">
      <c r="A21" s="272"/>
      <c r="B21" s="273"/>
      <c r="C21" s="273"/>
      <c r="D21" s="273"/>
      <c r="E21" s="273"/>
      <c r="F21" s="273"/>
      <c r="G21" s="273"/>
      <c r="H21" s="273"/>
      <c r="I21" s="273"/>
      <c r="J21" s="274"/>
      <c r="K21" s="68"/>
      <c r="L21" s="69"/>
    </row>
    <row r="22" spans="1:14" ht="14.25" customHeight="1" x14ac:dyDescent="0.45">
      <c r="A22" s="261" t="s">
        <v>255</v>
      </c>
      <c r="B22" s="262"/>
      <c r="C22" s="262"/>
      <c r="D22" s="262"/>
      <c r="E22" s="262"/>
      <c r="F22" s="263"/>
      <c r="G22" s="73" t="s">
        <v>222</v>
      </c>
      <c r="H22" s="73" t="s">
        <v>256</v>
      </c>
      <c r="I22" s="74" t="s">
        <v>228</v>
      </c>
      <c r="J22" s="75" t="s">
        <v>229</v>
      </c>
      <c r="K22" s="68"/>
      <c r="L22" s="69"/>
    </row>
    <row r="23" spans="1:14" ht="14.25" customHeight="1" x14ac:dyDescent="0.45">
      <c r="A23" s="258" t="s">
        <v>257</v>
      </c>
      <c r="B23" s="259"/>
      <c r="C23" s="259"/>
      <c r="D23" s="259"/>
      <c r="E23" s="259"/>
      <c r="F23" s="260"/>
      <c r="G23" s="76">
        <v>1</v>
      </c>
      <c r="H23" s="77">
        <v>1100000</v>
      </c>
      <c r="I23" s="78">
        <v>0</v>
      </c>
      <c r="J23" s="79">
        <f>G23*H23*(1+I23)</f>
        <v>1100000</v>
      </c>
      <c r="K23" s="68"/>
      <c r="L23" s="69"/>
    </row>
    <row r="24" spans="1:14" ht="14.25" customHeight="1" x14ac:dyDescent="0.45">
      <c r="A24" s="258" t="s">
        <v>258</v>
      </c>
      <c r="B24" s="259"/>
      <c r="C24" s="259"/>
      <c r="D24" s="259"/>
      <c r="E24" s="259"/>
      <c r="F24" s="260"/>
      <c r="G24" s="76">
        <v>5</v>
      </c>
      <c r="H24" s="77">
        <v>200000</v>
      </c>
      <c r="I24" s="78">
        <v>0</v>
      </c>
      <c r="J24" s="79">
        <f>G24*H24*(1+I24)</f>
        <v>1000000</v>
      </c>
      <c r="K24" s="68"/>
      <c r="L24" s="69" t="s">
        <v>259</v>
      </c>
    </row>
    <row r="25" spans="1:14" ht="14.25" customHeight="1" x14ac:dyDescent="0.45">
      <c r="A25" s="258" t="s">
        <v>260</v>
      </c>
      <c r="B25" s="259"/>
      <c r="C25" s="259"/>
      <c r="D25" s="259"/>
      <c r="E25" s="259"/>
      <c r="F25" s="260"/>
      <c r="G25" s="80">
        <v>5</v>
      </c>
      <c r="H25" s="77">
        <v>50000</v>
      </c>
      <c r="I25" s="78">
        <v>0</v>
      </c>
      <c r="J25" s="79">
        <f>G25*H25*(1+I25)</f>
        <v>250000</v>
      </c>
      <c r="K25" s="68"/>
      <c r="L25" s="69" t="s">
        <v>261</v>
      </c>
    </row>
    <row r="26" spans="1:14" ht="14.25" customHeight="1" x14ac:dyDescent="0.45">
      <c r="A26" s="258" t="s">
        <v>262</v>
      </c>
      <c r="B26" s="259"/>
      <c r="C26" s="259"/>
      <c r="D26" s="259"/>
      <c r="E26" s="259"/>
      <c r="F26" s="260"/>
      <c r="G26" s="80">
        <v>5</v>
      </c>
      <c r="H26" s="81">
        <f>80000+40000</f>
        <v>120000</v>
      </c>
      <c r="I26" s="82">
        <v>0</v>
      </c>
      <c r="J26" s="83">
        <f t="shared" ref="J26:J29" si="8">G26*H26*(1+I26)</f>
        <v>600000</v>
      </c>
      <c r="K26" s="84"/>
    </row>
    <row r="27" spans="1:14" ht="14.25" x14ac:dyDescent="0.45">
      <c r="A27" s="258" t="s">
        <v>263</v>
      </c>
      <c r="B27" s="259"/>
      <c r="C27" s="259"/>
      <c r="D27" s="259"/>
      <c r="E27" s="259"/>
      <c r="F27" s="260"/>
      <c r="G27" s="76">
        <v>5</v>
      </c>
      <c r="H27" s="77">
        <v>40914</v>
      </c>
      <c r="I27" s="78">
        <v>0</v>
      </c>
      <c r="J27" s="79">
        <f t="shared" si="8"/>
        <v>204570</v>
      </c>
      <c r="K27" s="84"/>
      <c r="L27" s="69"/>
    </row>
    <row r="28" spans="1:14" s="49" customFormat="1" ht="12" customHeight="1" x14ac:dyDescent="0.4">
      <c r="A28" s="258" t="s">
        <v>264</v>
      </c>
      <c r="B28" s="259"/>
      <c r="C28" s="259"/>
      <c r="D28" s="259"/>
      <c r="E28" s="259"/>
      <c r="F28" s="260"/>
      <c r="G28" s="85">
        <v>30</v>
      </c>
      <c r="H28" s="86">
        <v>4500</v>
      </c>
      <c r="I28" s="87">
        <v>0</v>
      </c>
      <c r="J28" s="88">
        <f t="shared" si="8"/>
        <v>135000</v>
      </c>
      <c r="K28" s="89"/>
      <c r="L28" s="90"/>
      <c r="M28" s="91"/>
    </row>
    <row r="29" spans="1:14" s="49" customFormat="1" ht="14.25" customHeight="1" x14ac:dyDescent="0.4">
      <c r="A29" s="258" t="s">
        <v>265</v>
      </c>
      <c r="B29" s="259"/>
      <c r="C29" s="259"/>
      <c r="D29" s="259"/>
      <c r="E29" s="259"/>
      <c r="F29" s="260"/>
      <c r="G29" s="85">
        <v>5</v>
      </c>
      <c r="H29" s="86">
        <v>80000</v>
      </c>
      <c r="I29" s="87">
        <v>0</v>
      </c>
      <c r="J29" s="88">
        <f t="shared" si="8"/>
        <v>400000</v>
      </c>
      <c r="K29" s="89"/>
      <c r="L29" s="90" t="s">
        <v>266</v>
      </c>
      <c r="M29" s="91"/>
    </row>
    <row r="30" spans="1:14" ht="14.25" customHeight="1" x14ac:dyDescent="0.45">
      <c r="A30" s="278" t="s">
        <v>267</v>
      </c>
      <c r="B30" s="279"/>
      <c r="C30" s="279"/>
      <c r="D30" s="279"/>
      <c r="E30" s="279"/>
      <c r="F30" s="280"/>
      <c r="G30" s="92">
        <v>5</v>
      </c>
      <c r="H30" s="93">
        <v>10000</v>
      </c>
      <c r="I30" s="94">
        <v>0</v>
      </c>
      <c r="J30" s="95">
        <f>H30*G30</f>
        <v>50000</v>
      </c>
      <c r="K30" s="64"/>
    </row>
    <row r="31" spans="1:14" ht="14.25" x14ac:dyDescent="0.45">
      <c r="A31" s="278" t="s">
        <v>268</v>
      </c>
      <c r="B31" s="279"/>
      <c r="C31" s="279"/>
      <c r="D31" s="279"/>
      <c r="E31" s="279"/>
      <c r="F31" s="280"/>
      <c r="G31" s="92">
        <v>5</v>
      </c>
      <c r="H31" s="93">
        <v>3000</v>
      </c>
      <c r="I31" s="94">
        <v>0</v>
      </c>
      <c r="J31" s="95">
        <f>H31*G31</f>
        <v>15000</v>
      </c>
      <c r="K31" s="65"/>
    </row>
    <row r="32" spans="1:14" ht="14.25" customHeight="1" x14ac:dyDescent="0.45">
      <c r="A32" s="275" t="s">
        <v>254</v>
      </c>
      <c r="B32" s="276"/>
      <c r="C32" s="276"/>
      <c r="D32" s="276"/>
      <c r="E32" s="276"/>
      <c r="F32" s="276"/>
      <c r="G32" s="276"/>
      <c r="H32" s="276"/>
      <c r="I32" s="277"/>
      <c r="J32" s="96">
        <f>SUM(J23:J29)</f>
        <v>3689570</v>
      </c>
      <c r="K32" s="14"/>
    </row>
    <row r="33" spans="1:14" ht="14.25" customHeight="1" x14ac:dyDescent="0.45">
      <c r="A33" s="281"/>
      <c r="B33" s="282"/>
      <c r="C33" s="282"/>
      <c r="D33" s="282"/>
      <c r="E33" s="282"/>
      <c r="F33" s="282"/>
      <c r="G33" s="282"/>
      <c r="H33" s="282"/>
      <c r="I33" s="282"/>
      <c r="J33" s="283"/>
      <c r="K33" s="98"/>
      <c r="L33" s="99" t="s">
        <v>269</v>
      </c>
    </row>
    <row r="34" spans="1:14" ht="14.25" customHeight="1" x14ac:dyDescent="0.45">
      <c r="A34" s="70" t="s">
        <v>270</v>
      </c>
      <c r="B34" s="71"/>
      <c r="C34" s="71"/>
      <c r="D34" s="71"/>
      <c r="E34" s="72"/>
      <c r="F34" s="100" t="s">
        <v>271</v>
      </c>
      <c r="G34" s="100" t="s">
        <v>226</v>
      </c>
      <c r="H34" s="100" t="s">
        <v>272</v>
      </c>
      <c r="I34" s="100" t="s">
        <v>228</v>
      </c>
      <c r="J34" s="101" t="s">
        <v>229</v>
      </c>
      <c r="K34" s="98"/>
      <c r="L34" s="99" t="s">
        <v>273</v>
      </c>
      <c r="N34" s="99"/>
    </row>
    <row r="35" spans="1:14" ht="14.25" customHeight="1" x14ac:dyDescent="0.45">
      <c r="A35" s="284" t="s">
        <v>274</v>
      </c>
      <c r="B35" s="285"/>
      <c r="C35" s="285"/>
      <c r="D35" s="285"/>
      <c r="E35" s="286"/>
      <c r="F35" s="102">
        <v>2</v>
      </c>
      <c r="G35" s="102">
        <v>10</v>
      </c>
      <c r="H35" s="103">
        <v>4500</v>
      </c>
      <c r="I35" s="104">
        <v>0</v>
      </c>
      <c r="J35" s="105">
        <f>F35*G35*H35</f>
        <v>90000</v>
      </c>
      <c r="K35" s="64"/>
    </row>
    <row r="36" spans="1:14" ht="14.25" x14ac:dyDescent="0.45">
      <c r="A36" s="287" t="s">
        <v>275</v>
      </c>
      <c r="B36" s="288"/>
      <c r="C36" s="288"/>
      <c r="D36" s="288"/>
      <c r="E36" s="289"/>
      <c r="F36" s="106">
        <v>3</v>
      </c>
      <c r="G36" s="106">
        <v>6</v>
      </c>
      <c r="H36" s="107">
        <v>8000</v>
      </c>
      <c r="I36" s="108">
        <v>0</v>
      </c>
      <c r="J36" s="109">
        <f>F36*G36*H36</f>
        <v>144000</v>
      </c>
      <c r="K36" s="65"/>
      <c r="L36" s="110"/>
    </row>
    <row r="37" spans="1:14" ht="14.25" customHeight="1" x14ac:dyDescent="0.45">
      <c r="A37" s="275" t="s">
        <v>254</v>
      </c>
      <c r="B37" s="276"/>
      <c r="C37" s="276"/>
      <c r="D37" s="276"/>
      <c r="E37" s="276"/>
      <c r="F37" s="276"/>
      <c r="G37" s="276"/>
      <c r="H37" s="276"/>
      <c r="I37" s="277"/>
      <c r="J37" s="96">
        <f>SUM(J35:J36)</f>
        <v>234000</v>
      </c>
      <c r="K37" s="14"/>
      <c r="L37" s="110"/>
    </row>
    <row r="38" spans="1:14" ht="14" customHeight="1" x14ac:dyDescent="0.45">
      <c r="A38" s="281"/>
      <c r="B38" s="282"/>
      <c r="C38" s="282"/>
      <c r="D38" s="282"/>
      <c r="E38" s="282"/>
      <c r="F38" s="282"/>
      <c r="G38" s="282"/>
      <c r="H38" s="282"/>
      <c r="I38" s="282"/>
      <c r="J38" s="283"/>
      <c r="K38" s="98"/>
      <c r="L38" s="99" t="s">
        <v>276</v>
      </c>
    </row>
    <row r="39" spans="1:14" ht="14" customHeight="1" x14ac:dyDescent="0.45">
      <c r="A39" s="111" t="s">
        <v>277</v>
      </c>
      <c r="B39" s="112"/>
      <c r="C39" s="112"/>
      <c r="D39" s="112"/>
      <c r="E39" s="113"/>
      <c r="F39" s="73" t="s">
        <v>271</v>
      </c>
      <c r="G39" s="73" t="s">
        <v>226</v>
      </c>
      <c r="H39" s="73" t="s">
        <v>272</v>
      </c>
      <c r="I39" s="73" t="s">
        <v>228</v>
      </c>
      <c r="J39" s="114" t="s">
        <v>229</v>
      </c>
      <c r="K39" s="98"/>
      <c r="L39" s="99" t="s">
        <v>278</v>
      </c>
      <c r="N39" s="99"/>
    </row>
    <row r="40" spans="1:14" ht="14.25" customHeight="1" x14ac:dyDescent="0.45">
      <c r="A40" s="284" t="s">
        <v>279</v>
      </c>
      <c r="B40" s="285"/>
      <c r="C40" s="285"/>
      <c r="D40" s="285"/>
      <c r="E40" s="286"/>
      <c r="F40" s="102">
        <v>6</v>
      </c>
      <c r="G40" s="102">
        <v>20</v>
      </c>
      <c r="H40" s="115">
        <v>668.06</v>
      </c>
      <c r="I40" s="104">
        <v>0</v>
      </c>
      <c r="J40" s="105">
        <f>F40*G40*H40</f>
        <v>80167.199999999997</v>
      </c>
      <c r="K40" s="64"/>
    </row>
    <row r="41" spans="1:14" ht="14.25" x14ac:dyDescent="0.45">
      <c r="A41" s="287" t="s">
        <v>280</v>
      </c>
      <c r="B41" s="288"/>
      <c r="C41" s="288"/>
      <c r="D41" s="288"/>
      <c r="E41" s="289"/>
      <c r="F41" s="106">
        <v>12</v>
      </c>
      <c r="G41" s="106">
        <v>18</v>
      </c>
      <c r="H41" s="107">
        <v>2500</v>
      </c>
      <c r="I41" s="108">
        <v>0</v>
      </c>
      <c r="J41" s="109">
        <f>F41*G41*H41</f>
        <v>540000</v>
      </c>
      <c r="K41" s="65"/>
    </row>
    <row r="42" spans="1:14" ht="14.25" customHeight="1" x14ac:dyDescent="0.45">
      <c r="A42" s="275" t="s">
        <v>254</v>
      </c>
      <c r="B42" s="276"/>
      <c r="C42" s="276"/>
      <c r="D42" s="276"/>
      <c r="E42" s="276"/>
      <c r="F42" s="276"/>
      <c r="G42" s="276"/>
      <c r="H42" s="276"/>
      <c r="I42" s="277"/>
      <c r="J42" s="96">
        <f>SUM(J40:J41)</f>
        <v>620167.19999999995</v>
      </c>
      <c r="K42" s="67"/>
    </row>
    <row r="43" spans="1:14" ht="14.25" customHeight="1" x14ac:dyDescent="0.45">
      <c r="A43" s="281"/>
      <c r="B43" s="282"/>
      <c r="C43" s="282"/>
      <c r="D43" s="282"/>
      <c r="E43" s="282"/>
      <c r="F43" s="282"/>
      <c r="G43" s="282"/>
      <c r="H43" s="282"/>
      <c r="I43" s="282"/>
      <c r="J43" s="283"/>
      <c r="K43" s="116"/>
    </row>
    <row r="44" spans="1:14" ht="14.25" customHeight="1" x14ac:dyDescent="0.45">
      <c r="A44" s="111" t="s">
        <v>281</v>
      </c>
      <c r="B44" s="112"/>
      <c r="C44" s="112"/>
      <c r="D44" s="112"/>
      <c r="E44" s="112"/>
      <c r="F44" s="113"/>
      <c r="G44" s="117" t="s">
        <v>226</v>
      </c>
      <c r="H44" s="73" t="s">
        <v>282</v>
      </c>
      <c r="I44" s="74" t="s">
        <v>228</v>
      </c>
      <c r="J44" s="75" t="s">
        <v>229</v>
      </c>
      <c r="K44" s="64"/>
    </row>
    <row r="45" spans="1:14" ht="14.25" x14ac:dyDescent="0.45">
      <c r="A45" s="290" t="s">
        <v>283</v>
      </c>
      <c r="B45" s="291"/>
      <c r="C45" s="291"/>
      <c r="D45" s="291"/>
      <c r="E45" s="291"/>
      <c r="F45" s="292"/>
      <c r="G45" s="118">
        <v>30</v>
      </c>
      <c r="H45" s="119">
        <v>2500</v>
      </c>
      <c r="I45" s="120">
        <v>0</v>
      </c>
      <c r="J45" s="121">
        <f>G45*H45*(1+I45)</f>
        <v>75000</v>
      </c>
      <c r="K45" s="65"/>
    </row>
    <row r="46" spans="1:14" ht="14.25" customHeight="1" x14ac:dyDescent="0.45">
      <c r="A46" s="269" t="s">
        <v>254</v>
      </c>
      <c r="B46" s="293"/>
      <c r="C46" s="293"/>
      <c r="D46" s="293"/>
      <c r="E46" s="293"/>
      <c r="F46" s="293"/>
      <c r="G46" s="293"/>
      <c r="H46" s="293"/>
      <c r="I46" s="294"/>
      <c r="J46" s="122">
        <f>SUM(J45)</f>
        <v>75000</v>
      </c>
      <c r="K46" s="67"/>
    </row>
    <row r="47" spans="1:14" s="49" customFormat="1" ht="14.25" customHeight="1" x14ac:dyDescent="0.4">
      <c r="A47" s="281"/>
      <c r="B47" s="282"/>
      <c r="C47" s="282"/>
      <c r="D47" s="282"/>
      <c r="E47" s="282"/>
      <c r="F47" s="282"/>
      <c r="G47" s="282"/>
      <c r="H47" s="282"/>
      <c r="I47" s="282"/>
      <c r="J47" s="283"/>
      <c r="K47" s="89"/>
      <c r="L47" s="91"/>
      <c r="M47" s="91"/>
    </row>
    <row r="48" spans="1:14" s="49" customFormat="1" ht="14.25" customHeight="1" x14ac:dyDescent="0.4">
      <c r="A48" s="70" t="s">
        <v>284</v>
      </c>
      <c r="B48" s="71"/>
      <c r="C48" s="71"/>
      <c r="D48" s="71"/>
      <c r="E48" s="71"/>
      <c r="F48" s="72"/>
      <c r="G48" s="100" t="s">
        <v>222</v>
      </c>
      <c r="H48" s="100" t="s">
        <v>256</v>
      </c>
      <c r="I48" s="123" t="s">
        <v>228</v>
      </c>
      <c r="J48" s="124" t="s">
        <v>229</v>
      </c>
      <c r="K48" s="89"/>
      <c r="L48" s="91"/>
      <c r="M48" s="91"/>
    </row>
    <row r="49" spans="1:15" s="49" customFormat="1" ht="14.25" customHeight="1" x14ac:dyDescent="0.4">
      <c r="A49" s="278" t="s">
        <v>285</v>
      </c>
      <c r="B49" s="279"/>
      <c r="C49" s="279"/>
      <c r="D49" s="279"/>
      <c r="E49" s="279"/>
      <c r="F49" s="280"/>
      <c r="G49" s="92">
        <v>1</v>
      </c>
      <c r="H49" s="93">
        <v>443979.98</v>
      </c>
      <c r="I49" s="94">
        <v>0</v>
      </c>
      <c r="J49" s="95">
        <f t="shared" ref="J49:J60" si="9">H49*G49</f>
        <v>443979.98</v>
      </c>
      <c r="K49" s="89"/>
      <c r="L49" s="91"/>
      <c r="M49" s="91"/>
    </row>
    <row r="50" spans="1:15" s="49" customFormat="1" ht="14.25" customHeight="1" x14ac:dyDescent="0.4">
      <c r="A50" s="278" t="s">
        <v>286</v>
      </c>
      <c r="B50" s="279"/>
      <c r="C50" s="279"/>
      <c r="D50" s="279"/>
      <c r="E50" s="279"/>
      <c r="F50" s="280"/>
      <c r="G50" s="92">
        <v>2</v>
      </c>
      <c r="H50" s="93">
        <v>331130.31</v>
      </c>
      <c r="I50" s="94">
        <v>0</v>
      </c>
      <c r="J50" s="95">
        <f t="shared" si="9"/>
        <v>662260.62</v>
      </c>
      <c r="K50" s="89"/>
      <c r="L50" s="91"/>
      <c r="M50" s="91"/>
    </row>
    <row r="51" spans="1:15" s="49" customFormat="1" ht="14.25" customHeight="1" x14ac:dyDescent="0.4">
      <c r="A51" s="278" t="s">
        <v>287</v>
      </c>
      <c r="B51" s="279"/>
      <c r="C51" s="279"/>
      <c r="D51" s="279"/>
      <c r="E51" s="279"/>
      <c r="F51" s="280"/>
      <c r="G51" s="92">
        <v>1</v>
      </c>
      <c r="H51" s="93">
        <v>463017.01</v>
      </c>
      <c r="I51" s="94">
        <v>0</v>
      </c>
      <c r="J51" s="95">
        <f t="shared" si="9"/>
        <v>463017.01</v>
      </c>
      <c r="K51" s="89"/>
      <c r="L51" s="91"/>
      <c r="M51" s="91"/>
    </row>
    <row r="52" spans="1:15" s="49" customFormat="1" ht="14" customHeight="1" x14ac:dyDescent="0.4">
      <c r="A52" s="278" t="s">
        <v>288</v>
      </c>
      <c r="B52" s="279"/>
      <c r="C52" s="279"/>
      <c r="D52" s="279"/>
      <c r="E52" s="279"/>
      <c r="F52" s="280"/>
      <c r="G52" s="92">
        <v>1</v>
      </c>
      <c r="H52" s="93">
        <v>300000</v>
      </c>
      <c r="I52" s="94">
        <v>0</v>
      </c>
      <c r="J52" s="95">
        <f t="shared" si="9"/>
        <v>300000</v>
      </c>
      <c r="K52" s="89"/>
      <c r="L52" s="90" t="s">
        <v>289</v>
      </c>
      <c r="M52" s="91"/>
    </row>
    <row r="53" spans="1:15" s="49" customFormat="1" ht="14.25" customHeight="1" x14ac:dyDescent="0.4">
      <c r="A53" s="278" t="s">
        <v>290</v>
      </c>
      <c r="B53" s="279"/>
      <c r="C53" s="279"/>
      <c r="D53" s="279"/>
      <c r="E53" s="279"/>
      <c r="F53" s="280"/>
      <c r="G53" s="92">
        <v>5</v>
      </c>
      <c r="H53" s="93">
        <v>100000</v>
      </c>
      <c r="I53" s="94">
        <v>0</v>
      </c>
      <c r="J53" s="95">
        <f t="shared" si="9"/>
        <v>500000</v>
      </c>
      <c r="K53" s="89"/>
      <c r="L53" s="91"/>
      <c r="M53" s="91"/>
    </row>
    <row r="54" spans="1:15" s="49" customFormat="1" ht="14.25" customHeight="1" x14ac:dyDescent="0.4">
      <c r="A54" s="278" t="s">
        <v>291</v>
      </c>
      <c r="B54" s="279"/>
      <c r="C54" s="279"/>
      <c r="D54" s="279"/>
      <c r="E54" s="279"/>
      <c r="F54" s="280"/>
      <c r="G54" s="92">
        <v>5</v>
      </c>
      <c r="H54" s="93">
        <v>17589</v>
      </c>
      <c r="I54" s="94">
        <v>0</v>
      </c>
      <c r="J54" s="95">
        <f t="shared" si="9"/>
        <v>87945</v>
      </c>
      <c r="K54" s="89"/>
      <c r="L54" s="90"/>
      <c r="M54" s="91"/>
    </row>
    <row r="55" spans="1:15" s="49" customFormat="1" ht="14.25" customHeight="1" x14ac:dyDescent="0.4">
      <c r="A55" s="278" t="s">
        <v>292</v>
      </c>
      <c r="B55" s="279"/>
      <c r="C55" s="279"/>
      <c r="D55" s="279"/>
      <c r="E55" s="279"/>
      <c r="F55" s="280"/>
      <c r="G55" s="92">
        <v>1</v>
      </c>
      <c r="H55" s="93">
        <v>15384</v>
      </c>
      <c r="I55" s="94">
        <v>0</v>
      </c>
      <c r="J55" s="95">
        <f t="shared" si="9"/>
        <v>15384</v>
      </c>
      <c r="K55" s="89"/>
      <c r="M55" s="91"/>
    </row>
    <row r="56" spans="1:15" ht="14.25" customHeight="1" x14ac:dyDescent="0.45">
      <c r="A56" s="278" t="s">
        <v>293</v>
      </c>
      <c r="B56" s="279"/>
      <c r="C56" s="279"/>
      <c r="D56" s="279"/>
      <c r="E56" s="279"/>
      <c r="F56" s="280"/>
      <c r="G56" s="92">
        <v>1</v>
      </c>
      <c r="H56" s="93">
        <v>31791</v>
      </c>
      <c r="I56" s="94">
        <v>0</v>
      </c>
      <c r="J56" s="95">
        <f t="shared" si="9"/>
        <v>31791</v>
      </c>
      <c r="K56" s="125"/>
    </row>
    <row r="57" spans="1:15" ht="14.25" customHeight="1" x14ac:dyDescent="0.45">
      <c r="A57" s="278" t="s">
        <v>294</v>
      </c>
      <c r="B57" s="279"/>
      <c r="C57" s="279"/>
      <c r="D57" s="279"/>
      <c r="E57" s="279"/>
      <c r="F57" s="280"/>
      <c r="G57" s="92">
        <v>2</v>
      </c>
      <c r="H57" s="93">
        <v>7000</v>
      </c>
      <c r="I57" s="94">
        <v>0</v>
      </c>
      <c r="J57" s="95">
        <f t="shared" si="9"/>
        <v>14000</v>
      </c>
      <c r="K57" s="125"/>
    </row>
    <row r="58" spans="1:15" ht="14.25" customHeight="1" x14ac:dyDescent="0.45">
      <c r="A58" s="278" t="s">
        <v>295</v>
      </c>
      <c r="B58" s="279"/>
      <c r="C58" s="279"/>
      <c r="D58" s="279"/>
      <c r="E58" s="279"/>
      <c r="F58" s="280"/>
      <c r="G58" s="126">
        <v>2</v>
      </c>
      <c r="H58" s="127">
        <v>1500</v>
      </c>
      <c r="I58" s="128">
        <v>0</v>
      </c>
      <c r="J58" s="129">
        <f t="shared" si="9"/>
        <v>3000</v>
      </c>
      <c r="K58" s="125"/>
    </row>
    <row r="59" spans="1:15" ht="14.25" customHeight="1" x14ac:dyDescent="0.45">
      <c r="A59" s="298" t="s">
        <v>296</v>
      </c>
      <c r="B59" s="298"/>
      <c r="C59" s="298"/>
      <c r="D59" s="298"/>
      <c r="E59" s="298"/>
      <c r="F59" s="298"/>
      <c r="G59" s="130">
        <v>1</v>
      </c>
      <c r="H59" s="127">
        <v>6000</v>
      </c>
      <c r="I59" s="128">
        <v>0</v>
      </c>
      <c r="J59" s="129">
        <f t="shared" si="9"/>
        <v>6000</v>
      </c>
      <c r="K59" s="64"/>
    </row>
    <row r="60" spans="1:15" ht="14.25" x14ac:dyDescent="0.45">
      <c r="A60" s="298" t="s">
        <v>297</v>
      </c>
      <c r="B60" s="298"/>
      <c r="C60" s="298"/>
      <c r="D60" s="298"/>
      <c r="E60" s="298"/>
      <c r="F60" s="298"/>
      <c r="G60" s="130">
        <v>4</v>
      </c>
      <c r="H60" s="127">
        <v>200</v>
      </c>
      <c r="I60" s="128">
        <v>0</v>
      </c>
      <c r="J60" s="129">
        <f t="shared" si="9"/>
        <v>800</v>
      </c>
      <c r="K60" s="65"/>
    </row>
    <row r="61" spans="1:15" ht="14.25" customHeight="1" x14ac:dyDescent="0.45">
      <c r="A61" s="275" t="s">
        <v>254</v>
      </c>
      <c r="B61" s="276"/>
      <c r="C61" s="276"/>
      <c r="D61" s="276"/>
      <c r="E61" s="276"/>
      <c r="F61" s="276"/>
      <c r="G61" s="276"/>
      <c r="H61" s="276"/>
      <c r="I61" s="277"/>
      <c r="J61" s="96">
        <f>SUM(J49:J60)</f>
        <v>2528177.6100000003</v>
      </c>
      <c r="K61" s="67"/>
    </row>
    <row r="62" spans="1:15" ht="14.25" customHeight="1" x14ac:dyDescent="0.45">
      <c r="A62" s="281"/>
      <c r="B62" s="282"/>
      <c r="C62" s="282"/>
      <c r="D62" s="282"/>
      <c r="E62" s="282"/>
      <c r="F62" s="282"/>
      <c r="G62" s="282"/>
      <c r="H62" s="282"/>
      <c r="I62" s="282"/>
      <c r="J62" s="283"/>
      <c r="K62" s="98"/>
    </row>
    <row r="63" spans="1:15" ht="14.25" customHeight="1" x14ac:dyDescent="0.45">
      <c r="A63" s="111" t="s">
        <v>298</v>
      </c>
      <c r="B63" s="112"/>
      <c r="C63" s="112"/>
      <c r="D63" s="112"/>
      <c r="E63" s="112"/>
      <c r="F63" s="112"/>
      <c r="G63" s="112"/>
      <c r="H63" s="113"/>
      <c r="I63" s="74" t="s">
        <v>299</v>
      </c>
      <c r="J63" s="131" t="s">
        <v>229</v>
      </c>
      <c r="K63" s="98"/>
    </row>
    <row r="64" spans="1:15" s="15" customFormat="1" ht="14.25" customHeight="1" x14ac:dyDescent="0.45">
      <c r="A64" s="299" t="s">
        <v>300</v>
      </c>
      <c r="B64" s="300"/>
      <c r="C64" s="300"/>
      <c r="D64" s="300"/>
      <c r="E64" s="300"/>
      <c r="F64" s="300"/>
      <c r="G64" s="300"/>
      <c r="H64" s="301"/>
      <c r="I64" s="132">
        <v>7.1999999999999998E-3</v>
      </c>
      <c r="J64" s="105">
        <f>((($J$20+$J$32+$J$37+$J$42+$J$46+J61)/(1-($I$64+$I$65+$I$66+$I$67+$I$68+$I$69+$I$70+$I$74))*I64))</f>
        <v>102577.89949053472</v>
      </c>
      <c r="K64" s="98"/>
      <c r="N64" s="16"/>
      <c r="O64" s="16"/>
    </row>
    <row r="65" spans="1:15" s="15" customFormat="1" ht="14.25" customHeight="1" x14ac:dyDescent="0.45">
      <c r="A65" s="295" t="s">
        <v>301</v>
      </c>
      <c r="B65" s="296"/>
      <c r="C65" s="296"/>
      <c r="D65" s="296"/>
      <c r="E65" s="296"/>
      <c r="F65" s="296"/>
      <c r="G65" s="296"/>
      <c r="H65" s="297"/>
      <c r="I65" s="133">
        <v>3.5000000000000001E-3</v>
      </c>
      <c r="J65" s="134">
        <f>((($J$20+$J$32+$J$37+$J$42+$J$46+J61)/(1-($I$64+$I$65+$I$66+$I$67+$I$68+$I$69+$I$70+$I$74))*I65))</f>
        <v>49864.256696787714</v>
      </c>
      <c r="K65" s="98"/>
      <c r="N65" s="16"/>
      <c r="O65" s="16"/>
    </row>
    <row r="66" spans="1:15" s="15" customFormat="1" ht="14.25" customHeight="1" x14ac:dyDescent="0.45">
      <c r="A66" s="295" t="s">
        <v>302</v>
      </c>
      <c r="B66" s="296"/>
      <c r="C66" s="296"/>
      <c r="D66" s="296"/>
      <c r="E66" s="296"/>
      <c r="F66" s="296"/>
      <c r="G66" s="296"/>
      <c r="H66" s="297"/>
      <c r="I66" s="133">
        <v>1.23E-2</v>
      </c>
      <c r="J66" s="134">
        <f>((($J$20+$J$32+$J$37+$J$42+$J$46+J61)/(1-($I$64+$I$65+$I$66+$I$67+$I$68+$I$69+$I$70+$I$74))*I66))</f>
        <v>175237.2449629968</v>
      </c>
      <c r="K66" s="98"/>
      <c r="N66" s="16"/>
      <c r="O66" s="16"/>
    </row>
    <row r="67" spans="1:15" s="15" customFormat="1" ht="14.25" customHeight="1" x14ac:dyDescent="0.45">
      <c r="A67" s="295" t="s">
        <v>303</v>
      </c>
      <c r="B67" s="296"/>
      <c r="C67" s="296"/>
      <c r="D67" s="296"/>
      <c r="E67" s="296"/>
      <c r="F67" s="296"/>
      <c r="G67" s="296"/>
      <c r="H67" s="297"/>
      <c r="I67" s="133">
        <v>1.8800000000000001E-2</v>
      </c>
      <c r="J67" s="134">
        <f>((($J$20+$J$32+$J$37+$J$42+$J$46+J61)/(1-($I$64+$I$65+$I$66+$I$67+$I$68+$I$69+$I$70+$I$74))*I67))</f>
        <v>267842.29311417398</v>
      </c>
      <c r="K67" s="98"/>
      <c r="N67" s="16"/>
      <c r="O67" s="16"/>
    </row>
    <row r="68" spans="1:15" s="15" customFormat="1" ht="14.25" customHeight="1" x14ac:dyDescent="0.45">
      <c r="A68" s="295" t="s">
        <v>304</v>
      </c>
      <c r="B68" s="296"/>
      <c r="C68" s="296"/>
      <c r="D68" s="296"/>
      <c r="E68" s="296"/>
      <c r="F68" s="296"/>
      <c r="G68" s="296"/>
      <c r="H68" s="297"/>
      <c r="I68" s="133">
        <v>1.46E-2</v>
      </c>
      <c r="J68" s="134">
        <f>((($J$20+$J$32+$J$37+$J$42+$J$46+J61)/(1-($I$64+$I$65+$I$66+$I$67+$I$68+$I$69+$I$70+$I$74))*I68))</f>
        <v>208005.18507802874</v>
      </c>
      <c r="K68" s="98"/>
      <c r="N68" s="16"/>
      <c r="O68" s="16"/>
    </row>
    <row r="69" spans="1:15" s="15" customFormat="1" ht="14.25" customHeight="1" x14ac:dyDescent="0.45">
      <c r="A69" s="295" t="s">
        <v>305</v>
      </c>
      <c r="B69" s="296"/>
      <c r="C69" s="296"/>
      <c r="D69" s="296"/>
      <c r="E69" s="296"/>
      <c r="F69" s="296"/>
      <c r="G69" s="296"/>
      <c r="H69" s="297"/>
      <c r="I69" s="133">
        <v>1.3299999999999999E-2</v>
      </c>
      <c r="J69" s="134">
        <f>((($J$20+$J$32+$J$37+$J$42+$J$46+J61)/(1-($I$64+$I$65+$I$66+$I$67+$I$68+$I$69+$I$70+$I$74))*I69))</f>
        <v>189484.1754477933</v>
      </c>
      <c r="K69" s="135"/>
      <c r="N69" s="16"/>
      <c r="O69" s="16"/>
    </row>
    <row r="70" spans="1:15" s="15" customFormat="1" ht="14.25" x14ac:dyDescent="0.45">
      <c r="A70" s="305" t="s">
        <v>306</v>
      </c>
      <c r="B70" s="306"/>
      <c r="C70" s="306"/>
      <c r="D70" s="306"/>
      <c r="E70" s="306"/>
      <c r="F70" s="306"/>
      <c r="G70" s="306"/>
      <c r="H70" s="307"/>
      <c r="I70" s="136">
        <v>9.7999999999999997E-3</v>
      </c>
      <c r="J70" s="109">
        <f>((($J$20+$J$32+$J$37+$J$42+$J$46+J61)/(1-($I$64+$I$65+$I$66+$I$67+$I$68+$I$69+$I$70+$I$74))*I70))</f>
        <v>139619.91875100558</v>
      </c>
      <c r="K70" s="65"/>
      <c r="N70" s="16"/>
      <c r="O70" s="16"/>
    </row>
    <row r="71" spans="1:15" s="15" customFormat="1" ht="14.25" customHeight="1" x14ac:dyDescent="0.45">
      <c r="A71" s="275" t="s">
        <v>254</v>
      </c>
      <c r="B71" s="276"/>
      <c r="C71" s="276"/>
      <c r="D71" s="276"/>
      <c r="E71" s="276"/>
      <c r="F71" s="276"/>
      <c r="G71" s="276"/>
      <c r="H71" s="276"/>
      <c r="I71" s="277"/>
      <c r="J71" s="137">
        <f>SUM(J64:J70)</f>
        <v>1132630.9735413208</v>
      </c>
      <c r="K71" s="67"/>
      <c r="N71" s="16"/>
      <c r="O71" s="16"/>
    </row>
    <row r="72" spans="1:15" s="15" customFormat="1" ht="14.25" customHeight="1" x14ac:dyDescent="0.45">
      <c r="A72" s="281"/>
      <c r="B72" s="282"/>
      <c r="C72" s="282"/>
      <c r="D72" s="282"/>
      <c r="E72" s="282"/>
      <c r="F72" s="282"/>
      <c r="G72" s="282"/>
      <c r="H72" s="282"/>
      <c r="I72" s="282"/>
      <c r="J72" s="283"/>
      <c r="K72" s="98"/>
      <c r="N72" s="16"/>
      <c r="O72" s="16"/>
    </row>
    <row r="73" spans="1:15" s="15" customFormat="1" ht="14.25" customHeight="1" x14ac:dyDescent="0.45">
      <c r="A73" s="138" t="s">
        <v>307</v>
      </c>
      <c r="B73" s="138"/>
      <c r="C73" s="138"/>
      <c r="D73" s="138"/>
      <c r="E73" s="138"/>
      <c r="F73" s="138"/>
      <c r="G73" s="138"/>
      <c r="H73" s="139"/>
      <c r="I73" s="123" t="s">
        <v>299</v>
      </c>
      <c r="J73" s="131" t="s">
        <v>229</v>
      </c>
      <c r="K73" s="135"/>
      <c r="N73" s="16"/>
      <c r="O73" s="16"/>
    </row>
    <row r="74" spans="1:15" s="15" customFormat="1" ht="14.25" x14ac:dyDescent="0.45">
      <c r="A74" s="97" t="s">
        <v>308</v>
      </c>
      <c r="B74" s="308"/>
      <c r="C74" s="308"/>
      <c r="D74" s="308"/>
      <c r="E74" s="308"/>
      <c r="F74" s="308"/>
      <c r="G74" s="308"/>
      <c r="H74" s="308"/>
      <c r="I74" s="140">
        <v>7.0000000000000007E-2</v>
      </c>
      <c r="J74" s="141">
        <f>(J20+J32+J37+J42+J61+J46+J71)/(1-I74)-(J20+J32+J61+J37+J42+J46+J71)</f>
        <v>997285.13393575512</v>
      </c>
      <c r="K74" s="65"/>
      <c r="N74" s="16"/>
      <c r="O74" s="16"/>
    </row>
    <row r="75" spans="1:15" s="15" customFormat="1" ht="14.25" customHeight="1" x14ac:dyDescent="0.45">
      <c r="A75" s="269" t="s">
        <v>254</v>
      </c>
      <c r="B75" s="293"/>
      <c r="C75" s="293"/>
      <c r="D75" s="293"/>
      <c r="E75" s="293"/>
      <c r="F75" s="293"/>
      <c r="G75" s="293"/>
      <c r="H75" s="293"/>
      <c r="I75" s="294"/>
      <c r="J75" s="142">
        <f>SUM(J74)</f>
        <v>997285.13393575512</v>
      </c>
      <c r="K75" s="135"/>
      <c r="L75" s="143">
        <v>20621838.401392099</v>
      </c>
      <c r="N75" s="16"/>
      <c r="O75" s="16"/>
    </row>
    <row r="76" spans="1:15" s="15" customFormat="1" ht="14.25" customHeight="1" x14ac:dyDescent="0.45">
      <c r="A76" s="281"/>
      <c r="B76" s="282"/>
      <c r="C76" s="282"/>
      <c r="D76" s="282"/>
      <c r="E76" s="282"/>
      <c r="F76" s="282"/>
      <c r="G76" s="282"/>
      <c r="H76" s="282"/>
      <c r="I76" s="282"/>
      <c r="J76" s="283"/>
      <c r="K76" s="16"/>
      <c r="L76" s="15">
        <v>18973396.30850558</v>
      </c>
      <c r="N76" s="16"/>
      <c r="O76" s="16"/>
    </row>
    <row r="77" spans="1:15" s="15" customFormat="1" ht="14.25" customHeight="1" x14ac:dyDescent="0.45">
      <c r="A77" s="302" t="s">
        <v>309</v>
      </c>
      <c r="B77" s="303"/>
      <c r="C77" s="303"/>
      <c r="D77" s="303"/>
      <c r="E77" s="303"/>
      <c r="F77" s="303"/>
      <c r="G77" s="303"/>
      <c r="H77" s="303"/>
      <c r="I77" s="304"/>
      <c r="J77" s="144">
        <f>SUM(J20+J32+J37+J42+J46+J61+J71+J75)</f>
        <v>14246930.484796491</v>
      </c>
      <c r="K77" s="16"/>
      <c r="N77" s="16"/>
      <c r="O77" s="16"/>
    </row>
    <row r="78" spans="1:15" s="15" customFormat="1" ht="14.25" customHeight="1" x14ac:dyDescent="0.4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N78" s="16"/>
      <c r="O78" s="16"/>
    </row>
    <row r="79" spans="1:15" s="15" customFormat="1" ht="14.25" customHeight="1" x14ac:dyDescent="0.4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N79" s="16"/>
      <c r="O79" s="16"/>
    </row>
    <row r="80" spans="1:15" ht="14.25" customHeight="1" x14ac:dyDescent="0.45"/>
    <row r="81" spans="3:5" ht="14.25" customHeight="1" x14ac:dyDescent="0.45"/>
    <row r="82" spans="3:5" ht="14.25" customHeight="1" x14ac:dyDescent="0.45">
      <c r="C82" s="145"/>
      <c r="E82" s="145"/>
    </row>
    <row r="83" spans="3:5" ht="14.25" customHeight="1" x14ac:dyDescent="0.45"/>
    <row r="84" spans="3:5" ht="14.25" customHeight="1" x14ac:dyDescent="0.45"/>
    <row r="85" spans="3:5" ht="14.25" customHeight="1" x14ac:dyDescent="0.45"/>
    <row r="86" spans="3:5" ht="14.25" customHeight="1" x14ac:dyDescent="0.45"/>
    <row r="87" spans="3:5" ht="14.25" customHeight="1" x14ac:dyDescent="0.45"/>
    <row r="88" spans="3:5" ht="14.25" customHeight="1" x14ac:dyDescent="0.45"/>
    <row r="89" spans="3:5" ht="14.25" customHeight="1" x14ac:dyDescent="0.45"/>
    <row r="90" spans="3:5" ht="14.25" customHeight="1" x14ac:dyDescent="0.45"/>
    <row r="91" spans="3:5" ht="14.25" customHeight="1" x14ac:dyDescent="0.45"/>
    <row r="92" spans="3:5" ht="14.25" customHeight="1" x14ac:dyDescent="0.45"/>
    <row r="93" spans="3:5" ht="14.25" customHeight="1" x14ac:dyDescent="0.45"/>
    <row r="94" spans="3:5" ht="14.25" customHeight="1" x14ac:dyDescent="0.45"/>
    <row r="95" spans="3:5" ht="14.25" customHeight="1" x14ac:dyDescent="0.45"/>
    <row r="96" spans="3:5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</sheetData>
  <mergeCells count="61">
    <mergeCell ref="A77:I77"/>
    <mergeCell ref="A70:H70"/>
    <mergeCell ref="A71:I71"/>
    <mergeCell ref="A72:J72"/>
    <mergeCell ref="B74:H74"/>
    <mergeCell ref="A75:I75"/>
    <mergeCell ref="A76:J76"/>
    <mergeCell ref="A69:H69"/>
    <mergeCell ref="A57:F57"/>
    <mergeCell ref="A58:F58"/>
    <mergeCell ref="A59:F59"/>
    <mergeCell ref="A60:F60"/>
    <mergeCell ref="A61:I61"/>
    <mergeCell ref="A62:J62"/>
    <mergeCell ref="A64:H64"/>
    <mergeCell ref="A65:H65"/>
    <mergeCell ref="A66:H66"/>
    <mergeCell ref="A67:H67"/>
    <mergeCell ref="A68:H68"/>
    <mergeCell ref="A56:F56"/>
    <mergeCell ref="A43:J43"/>
    <mergeCell ref="A45:F45"/>
    <mergeCell ref="A46:I46"/>
    <mergeCell ref="A47:J47"/>
    <mergeCell ref="A49:F49"/>
    <mergeCell ref="A50:F50"/>
    <mergeCell ref="A51:F51"/>
    <mergeCell ref="A52:F52"/>
    <mergeCell ref="A53:F53"/>
    <mergeCell ref="A54:F54"/>
    <mergeCell ref="A55:F55"/>
    <mergeCell ref="A26:F26"/>
    <mergeCell ref="A27:F27"/>
    <mergeCell ref="A42:I42"/>
    <mergeCell ref="A29:F29"/>
    <mergeCell ref="A30:F30"/>
    <mergeCell ref="A31:F31"/>
    <mergeCell ref="A32:I32"/>
    <mergeCell ref="A33:J33"/>
    <mergeCell ref="A35:E35"/>
    <mergeCell ref="A36:E36"/>
    <mergeCell ref="A37:I37"/>
    <mergeCell ref="A38:J38"/>
    <mergeCell ref="A40:E40"/>
    <mergeCell ref="A41:E41"/>
    <mergeCell ref="A28:F28"/>
    <mergeCell ref="H1:H2"/>
    <mergeCell ref="I1:I2"/>
    <mergeCell ref="J1:J2"/>
    <mergeCell ref="A20:I20"/>
    <mergeCell ref="A21:J21"/>
    <mergeCell ref="G1:G2"/>
    <mergeCell ref="A23:F23"/>
    <mergeCell ref="A24:F24"/>
    <mergeCell ref="A25:F25"/>
    <mergeCell ref="A22:F22"/>
    <mergeCell ref="A1:A2"/>
    <mergeCell ref="B1:B2"/>
    <mergeCell ref="C1:D1"/>
    <mergeCell ref="E1:E2"/>
    <mergeCell ref="F1:F2"/>
  </mergeCells>
  <pageMargins left="0.51181102362204722" right="0.51181102362204722" top="0.78740157480314965" bottom="0.78740157480314965" header="0" footer="0"/>
  <pageSetup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8ADC-640E-47F0-9B85-0403F5668509}">
  <sheetPr>
    <pageSetUpPr fitToPage="1"/>
  </sheetPr>
  <dimension ref="A1:O940"/>
  <sheetViews>
    <sheetView view="pageBreakPreview" zoomScale="89" zoomScaleNormal="160" zoomScaleSheetLayoutView="89" workbookViewId="0">
      <selection activeCell="F1" sqref="F1:F2"/>
    </sheetView>
  </sheetViews>
  <sheetFormatPr defaultColWidth="13.3984375" defaultRowHeight="15" customHeight="1" x14ac:dyDescent="0.45"/>
  <cols>
    <col min="1" max="1" width="42.1328125" style="16" bestFit="1" customWidth="1"/>
    <col min="2" max="2" width="5.1328125" style="16" bestFit="1" customWidth="1"/>
    <col min="3" max="3" width="4.796875" style="16" bestFit="1" customWidth="1"/>
    <col min="4" max="4" width="8.06640625" style="16" bestFit="1" customWidth="1"/>
    <col min="5" max="5" width="6.59765625" style="16" customWidth="1"/>
    <col min="6" max="6" width="8.59765625" style="16" customWidth="1"/>
    <col min="7" max="7" width="5" style="16" bestFit="1" customWidth="1"/>
    <col min="8" max="8" width="9.265625" style="16" bestFit="1" customWidth="1"/>
    <col min="9" max="9" width="8" style="16" bestFit="1" customWidth="1"/>
    <col min="10" max="10" width="11.19921875" style="16" bestFit="1" customWidth="1"/>
    <col min="11" max="11" width="13.1328125" style="16" customWidth="1"/>
    <col min="12" max="13" width="13.3984375" style="15"/>
    <col min="14" max="16384" width="13.3984375" style="16"/>
  </cols>
  <sheetData>
    <row r="1" spans="1:15" ht="18" customHeight="1" x14ac:dyDescent="0.45">
      <c r="A1" s="264"/>
      <c r="B1" s="265" t="s">
        <v>222</v>
      </c>
      <c r="C1" s="267" t="s">
        <v>446</v>
      </c>
      <c r="D1" s="266"/>
      <c r="E1" s="264" t="s">
        <v>224</v>
      </c>
      <c r="F1" s="264" t="s">
        <v>225</v>
      </c>
      <c r="G1" s="267" t="s">
        <v>226</v>
      </c>
      <c r="H1" s="267" t="s">
        <v>227</v>
      </c>
      <c r="I1" s="267" t="s">
        <v>228</v>
      </c>
      <c r="J1" s="267" t="s">
        <v>229</v>
      </c>
      <c r="K1" s="14"/>
    </row>
    <row r="2" spans="1:15" ht="18" customHeight="1" x14ac:dyDescent="0.45">
      <c r="A2" s="264"/>
      <c r="B2" s="266"/>
      <c r="C2" s="13" t="s">
        <v>230</v>
      </c>
      <c r="D2" s="13" t="s">
        <v>231</v>
      </c>
      <c r="E2" s="268"/>
      <c r="F2" s="268"/>
      <c r="G2" s="266"/>
      <c r="H2" s="266"/>
      <c r="I2" s="266"/>
      <c r="J2" s="266"/>
      <c r="K2" s="146">
        <v>60000</v>
      </c>
      <c r="L2" s="18" t="s">
        <v>232</v>
      </c>
      <c r="M2" s="18" t="s">
        <v>233</v>
      </c>
      <c r="N2" s="19" t="s">
        <v>234</v>
      </c>
    </row>
    <row r="3" spans="1:15" ht="14.25" customHeight="1" x14ac:dyDescent="0.45">
      <c r="A3" s="20" t="s">
        <v>235</v>
      </c>
      <c r="B3" s="21">
        <v>1</v>
      </c>
      <c r="C3" s="22" t="s">
        <v>205</v>
      </c>
      <c r="D3" s="23">
        <f>VLOOKUP(C3,'[3]Tabela DNIT Janeiro_2026'!$C$3:$D$110,2,FALSE)</f>
        <v>5000</v>
      </c>
      <c r="E3" s="24">
        <v>5</v>
      </c>
      <c r="F3" s="23">
        <f>(D3)*B3/2</f>
        <v>2500</v>
      </c>
      <c r="G3" s="25">
        <v>60</v>
      </c>
      <c r="H3" s="25" t="s">
        <v>236</v>
      </c>
      <c r="I3" s="26">
        <v>0</v>
      </c>
      <c r="J3" s="27">
        <f t="shared" ref="J3:J14" si="0">F3*G3*(1+I3)</f>
        <v>150000</v>
      </c>
      <c r="K3" s="146">
        <v>160492.91938200005</v>
      </c>
      <c r="L3" s="29">
        <f>IF(H3="bolsa",B3,"-")</f>
        <v>1</v>
      </c>
      <c r="M3" s="29" t="str">
        <f>IF(H3&lt;&gt;"bolsa",B3,"-")</f>
        <v>-</v>
      </c>
      <c r="N3" s="30" t="e">
        <f>(#REF!+J14+#REF!)/J67</f>
        <v>#REF!</v>
      </c>
      <c r="O3" s="31"/>
    </row>
    <row r="4" spans="1:15" ht="14.25" customHeight="1" x14ac:dyDescent="0.45">
      <c r="A4" s="32" t="s">
        <v>237</v>
      </c>
      <c r="B4" s="33">
        <v>1</v>
      </c>
      <c r="C4" s="33" t="s">
        <v>109</v>
      </c>
      <c r="D4" s="36">
        <f>VLOOKUP(C4,'[3]Tabela DNIT Janeiro_2026'!$C$3:$D$110,2,FALSE)</f>
        <v>19804.310000000001</v>
      </c>
      <c r="E4" s="35">
        <v>50</v>
      </c>
      <c r="F4" s="36">
        <f>(D4/200)*E4*B4</f>
        <v>4951.0775000000003</v>
      </c>
      <c r="G4" s="35">
        <v>60</v>
      </c>
      <c r="H4" s="35" t="s">
        <v>238</v>
      </c>
      <c r="I4" s="37">
        <v>0.84040000000000004</v>
      </c>
      <c r="J4" s="38">
        <f t="shared" si="0"/>
        <v>546717.7818600001</v>
      </c>
      <c r="K4" s="146">
        <v>374392.79284799995</v>
      </c>
      <c r="L4" s="29" t="str">
        <f t="shared" ref="L4:L8" si="1">IF(H4="bolsa",B4,"-")</f>
        <v>-</v>
      </c>
      <c r="M4" s="29">
        <f t="shared" ref="M4:M8" si="2">IF(H4&lt;&gt;"bolsa",B4,"-")</f>
        <v>1</v>
      </c>
      <c r="N4" s="40"/>
    </row>
    <row r="5" spans="1:15" ht="14.25" customHeight="1" x14ac:dyDescent="0.45">
      <c r="A5" s="32" t="s">
        <v>239</v>
      </c>
      <c r="B5" s="33">
        <v>1</v>
      </c>
      <c r="C5" s="33" t="s">
        <v>121</v>
      </c>
      <c r="D5" s="36">
        <f>VLOOKUP(C5,'[3]Tabela DNIT Janeiro_2026'!$C$3:$D$110,2,FALSE)</f>
        <v>17274.580000000002</v>
      </c>
      <c r="E5" s="35">
        <v>100</v>
      </c>
      <c r="F5" s="36">
        <f>(D5/200)*E5*B5</f>
        <v>8637.2900000000009</v>
      </c>
      <c r="G5" s="35">
        <v>30</v>
      </c>
      <c r="H5" s="35" t="s">
        <v>238</v>
      </c>
      <c r="I5" s="37">
        <v>0.84040000000000004</v>
      </c>
      <c r="J5" s="38">
        <f t="shared" si="0"/>
        <v>476882.05548000004</v>
      </c>
      <c r="K5" s="146">
        <v>374392.79284799995</v>
      </c>
      <c r="L5" s="29" t="str">
        <f t="shared" si="1"/>
        <v>-</v>
      </c>
      <c r="M5" s="29">
        <f t="shared" si="2"/>
        <v>1</v>
      </c>
      <c r="N5" s="40"/>
    </row>
    <row r="6" spans="1:15" ht="14.25" customHeight="1" x14ac:dyDescent="0.45">
      <c r="A6" s="42" t="s">
        <v>240</v>
      </c>
      <c r="B6" s="33">
        <v>1</v>
      </c>
      <c r="C6" s="33" t="s">
        <v>121</v>
      </c>
      <c r="D6" s="36">
        <f>VLOOKUP(C6,'[3]Tabela DNIT Janeiro_2026'!$C$3:$D$110,2,FALSE)</f>
        <v>17274.580000000002</v>
      </c>
      <c r="E6" s="35">
        <v>200</v>
      </c>
      <c r="F6" s="36">
        <f t="shared" ref="F6:F7" si="3">(D6/200)*E6*B6</f>
        <v>17274.580000000002</v>
      </c>
      <c r="G6" s="35">
        <v>30</v>
      </c>
      <c r="H6" s="35" t="s">
        <v>238</v>
      </c>
      <c r="I6" s="37">
        <v>0.84040000000000004</v>
      </c>
      <c r="J6" s="38">
        <f t="shared" si="0"/>
        <v>953764.11096000008</v>
      </c>
      <c r="K6" s="146">
        <v>412220.63210400008</v>
      </c>
      <c r="L6" s="29" t="str">
        <f t="shared" si="1"/>
        <v>-</v>
      </c>
      <c r="M6" s="29">
        <f t="shared" si="2"/>
        <v>1</v>
      </c>
      <c r="N6" s="40"/>
    </row>
    <row r="7" spans="1:15" ht="14.25" customHeight="1" x14ac:dyDescent="0.45">
      <c r="A7" s="42" t="s">
        <v>241</v>
      </c>
      <c r="B7" s="33">
        <v>1</v>
      </c>
      <c r="C7" s="33" t="s">
        <v>117</v>
      </c>
      <c r="D7" s="36">
        <f>VLOOKUP(C7,'[3]Tabela DNIT Janeiro_2026'!$C$3:$D$110,2,FALSE)</f>
        <v>12443.57</v>
      </c>
      <c r="E7" s="35">
        <v>100</v>
      </c>
      <c r="F7" s="36">
        <f t="shared" si="3"/>
        <v>6221.7849999999999</v>
      </c>
      <c r="G7" s="35">
        <v>60</v>
      </c>
      <c r="H7" s="35" t="s">
        <v>238</v>
      </c>
      <c r="I7" s="37">
        <v>0.84040000000000004</v>
      </c>
      <c r="J7" s="38">
        <f t="shared" si="0"/>
        <v>687034.38683999993</v>
      </c>
      <c r="K7" s="146">
        <v>127569.89887920005</v>
      </c>
      <c r="L7" s="29" t="str">
        <f t="shared" si="1"/>
        <v>-</v>
      </c>
      <c r="M7" s="29">
        <f t="shared" si="2"/>
        <v>1</v>
      </c>
      <c r="N7" s="40"/>
    </row>
    <row r="8" spans="1:15" ht="14.25" customHeight="1" x14ac:dyDescent="0.45">
      <c r="A8" s="42" t="s">
        <v>310</v>
      </c>
      <c r="B8" s="147">
        <v>1</v>
      </c>
      <c r="C8" s="52" t="s">
        <v>21</v>
      </c>
      <c r="D8" s="36">
        <f>VLOOKUP(C8,'[3]Tabela DNIT Janeiro_2026'!$C$3:$D$110,2,FALSE)</f>
        <v>4278.6499999999996</v>
      </c>
      <c r="E8" s="35">
        <v>100</v>
      </c>
      <c r="F8" s="36">
        <f>(D8/200)*E8*B8</f>
        <v>2139.3249999999998</v>
      </c>
      <c r="G8" s="35">
        <v>30</v>
      </c>
      <c r="H8" s="35" t="s">
        <v>238</v>
      </c>
      <c r="I8" s="37">
        <v>0.84040000000000004</v>
      </c>
      <c r="J8" s="38">
        <f t="shared" si="0"/>
        <v>118116.41189999999</v>
      </c>
      <c r="K8" s="146">
        <v>288000</v>
      </c>
      <c r="L8" s="29" t="str">
        <f t="shared" si="1"/>
        <v>-</v>
      </c>
      <c r="M8" s="29">
        <f t="shared" si="2"/>
        <v>1</v>
      </c>
      <c r="N8" s="40"/>
    </row>
    <row r="9" spans="1:15" ht="14.25" customHeight="1" x14ac:dyDescent="0.45">
      <c r="A9" s="43" t="s">
        <v>243</v>
      </c>
      <c r="B9" s="33">
        <v>1</v>
      </c>
      <c r="C9" s="33" t="s">
        <v>25</v>
      </c>
      <c r="D9" s="41">
        <f>VLOOKUP(C9,'[3]Tabela DNIT Janeiro_2026'!$C$3:$D$110,2,FALSE)</f>
        <v>10201.290000000001</v>
      </c>
      <c r="E9" s="35">
        <v>100</v>
      </c>
      <c r="F9" s="36">
        <f t="shared" ref="F9" si="4">(D9/200)*E9*B9</f>
        <v>5100.6450000000004</v>
      </c>
      <c r="G9" s="35">
        <v>30</v>
      </c>
      <c r="H9" s="35" t="s">
        <v>238</v>
      </c>
      <c r="I9" s="37">
        <v>0.84040000000000004</v>
      </c>
      <c r="J9" s="38">
        <f t="shared" si="0"/>
        <v>281616.81174000003</v>
      </c>
      <c r="K9" s="146">
        <v>151200</v>
      </c>
      <c r="L9" s="29">
        <f>IF(H10="bolsa",B10,"-")</f>
        <v>1</v>
      </c>
      <c r="M9" s="29" t="str">
        <f>IF(H10&lt;&gt;"bolsa",B10,"-")</f>
        <v>-</v>
      </c>
      <c r="N9" s="40"/>
    </row>
    <row r="10" spans="1:15" ht="14.25" customHeight="1" x14ac:dyDescent="0.45">
      <c r="A10" s="47" t="s">
        <v>246</v>
      </c>
      <c r="B10" s="147">
        <v>1</v>
      </c>
      <c r="C10" s="50" t="s">
        <v>207</v>
      </c>
      <c r="D10" s="36">
        <f>VLOOKUP(C10,'[3]Tabela DNIT Janeiro_2026'!$C$3:$D$110,2,FALSE)</f>
        <v>3000</v>
      </c>
      <c r="E10" s="35">
        <v>100</v>
      </c>
      <c r="F10" s="36">
        <f>(D10/100)*E10*B10</f>
        <v>3000</v>
      </c>
      <c r="G10" s="35">
        <v>60</v>
      </c>
      <c r="H10" s="148" t="s">
        <v>236</v>
      </c>
      <c r="I10" s="48">
        <v>0</v>
      </c>
      <c r="J10" s="54">
        <f t="shared" si="0"/>
        <v>180000</v>
      </c>
      <c r="K10" s="146">
        <v>105600</v>
      </c>
      <c r="L10" s="29">
        <f>IF(H11="bolsa",B11,"-")</f>
        <v>4</v>
      </c>
      <c r="M10" s="29" t="str">
        <f>IF(H11&lt;&gt;"bolsa",B11,"-")</f>
        <v>-</v>
      </c>
      <c r="N10" s="40"/>
    </row>
    <row r="11" spans="1:15" ht="14.25" customHeight="1" x14ac:dyDescent="0.45">
      <c r="A11" s="47" t="s">
        <v>247</v>
      </c>
      <c r="B11" s="147">
        <v>4</v>
      </c>
      <c r="C11" s="50" t="s">
        <v>221</v>
      </c>
      <c r="D11" s="36">
        <f>VLOOKUP(C11,'[3]Tabela DNIT Janeiro_2026'!$C$3:$D$110,2,FALSE)</f>
        <v>1050</v>
      </c>
      <c r="E11" s="35">
        <v>100</v>
      </c>
      <c r="F11" s="36">
        <f>(D11/100)*E11*B11</f>
        <v>4200</v>
      </c>
      <c r="G11" s="35">
        <v>60</v>
      </c>
      <c r="H11" s="148" t="s">
        <v>236</v>
      </c>
      <c r="I11" s="48">
        <v>0</v>
      </c>
      <c r="J11" s="54">
        <f t="shared" si="0"/>
        <v>252000</v>
      </c>
      <c r="K11" s="146">
        <v>59939.25144</v>
      </c>
      <c r="L11" s="29">
        <f>IF(H12="bolsa",B12,"-")</f>
        <v>1</v>
      </c>
      <c r="M11" s="29" t="str">
        <f>IF(H12&lt;&gt;"bolsa",B12,"-")</f>
        <v>-</v>
      </c>
      <c r="N11" s="49"/>
    </row>
    <row r="12" spans="1:15" ht="14.25" customHeight="1" x14ac:dyDescent="0.45">
      <c r="A12" s="42" t="s">
        <v>248</v>
      </c>
      <c r="B12" s="147">
        <v>1</v>
      </c>
      <c r="C12" s="50" t="s">
        <v>217</v>
      </c>
      <c r="D12" s="36">
        <f>VLOOKUP(C12,'[3]Tabela DNIT Janeiro_2026'!$C$3:$D$110,2,FALSE)</f>
        <v>2200</v>
      </c>
      <c r="E12" s="35">
        <v>100</v>
      </c>
      <c r="F12" s="36">
        <f>(D12/100)*E12*B12</f>
        <v>2200</v>
      </c>
      <c r="G12" s="35">
        <v>60</v>
      </c>
      <c r="H12" s="148" t="s">
        <v>236</v>
      </c>
      <c r="I12" s="48">
        <v>0</v>
      </c>
      <c r="J12" s="54">
        <f t="shared" si="0"/>
        <v>132000</v>
      </c>
      <c r="K12" s="146">
        <v>191144.82739200001</v>
      </c>
      <c r="L12" s="29" t="str">
        <f t="shared" ref="L12:L13" si="5">IF(H13="bolsa",B13,"-")</f>
        <v>-</v>
      </c>
      <c r="M12" s="29">
        <f t="shared" ref="M12:M13" si="6">IF(H13&lt;&gt;"bolsa",B13,"-")</f>
        <v>1</v>
      </c>
      <c r="N12" s="40"/>
    </row>
    <row r="13" spans="1:15" ht="14.25" customHeight="1" x14ac:dyDescent="0.45">
      <c r="A13" s="55" t="s">
        <v>250</v>
      </c>
      <c r="B13" s="56">
        <v>1</v>
      </c>
      <c r="C13" s="57" t="s">
        <v>183</v>
      </c>
      <c r="D13" s="23">
        <f>VLOOKUP(C13,'[3]Tabela DNIT Janeiro_2026'!$C$3:$D$110,2,FALSE)</f>
        <v>4110.7299999999996</v>
      </c>
      <c r="E13" s="24">
        <v>50</v>
      </c>
      <c r="F13" s="23">
        <f t="shared" ref="F13" si="7">(D13/200)*E13</f>
        <v>1027.6824999999999</v>
      </c>
      <c r="G13" s="56">
        <v>30</v>
      </c>
      <c r="H13" s="24" t="s">
        <v>238</v>
      </c>
      <c r="I13" s="58">
        <v>0.84040000000000004</v>
      </c>
      <c r="J13" s="59">
        <f t="shared" si="0"/>
        <v>56740.406190000002</v>
      </c>
      <c r="K13" s="146">
        <v>31500</v>
      </c>
      <c r="L13" s="29">
        <f t="shared" si="5"/>
        <v>4</v>
      </c>
      <c r="M13" s="29" t="str">
        <f t="shared" si="6"/>
        <v>-</v>
      </c>
      <c r="N13" s="40"/>
    </row>
    <row r="14" spans="1:15" ht="14.25" customHeight="1" x14ac:dyDescent="0.45">
      <c r="A14" s="61" t="s">
        <v>247</v>
      </c>
      <c r="B14" s="56">
        <v>4</v>
      </c>
      <c r="C14" s="62" t="s">
        <v>221</v>
      </c>
      <c r="D14" s="23">
        <f>VLOOKUP(C14,'[3]Tabela DNIT Janeiro_2026'!$C$3:$D$110,2,FALSE)</f>
        <v>1050</v>
      </c>
      <c r="E14" s="60">
        <v>100</v>
      </c>
      <c r="F14" s="23">
        <f>(D14/100)*E14</f>
        <v>1050</v>
      </c>
      <c r="G14" s="56">
        <v>60</v>
      </c>
      <c r="H14" s="24" t="s">
        <v>236</v>
      </c>
      <c r="I14" s="58">
        <v>0</v>
      </c>
      <c r="J14" s="63">
        <f t="shared" si="0"/>
        <v>63000</v>
      </c>
      <c r="K14" s="149"/>
      <c r="L14" s="18">
        <f>SUM(L3:L13)</f>
        <v>11</v>
      </c>
      <c r="M14" s="18">
        <f>SUM(M3:M13)</f>
        <v>6</v>
      </c>
      <c r="N14" s="16">
        <f>L14+M14</f>
        <v>17</v>
      </c>
    </row>
    <row r="15" spans="1:15" ht="14.25" x14ac:dyDescent="0.45">
      <c r="A15" s="269" t="s">
        <v>254</v>
      </c>
      <c r="B15" s="270"/>
      <c r="C15" s="270"/>
      <c r="D15" s="270"/>
      <c r="E15" s="270"/>
      <c r="F15" s="270"/>
      <c r="G15" s="270"/>
      <c r="H15" s="270"/>
      <c r="I15" s="271"/>
      <c r="J15" s="66">
        <f>SUM(J3:J14)</f>
        <v>3897871.9649700006</v>
      </c>
      <c r="K15" s="67"/>
      <c r="N15" s="16">
        <f t="shared" ref="N15:N16" si="8">L15+M15</f>
        <v>0</v>
      </c>
    </row>
    <row r="16" spans="1:15" ht="14.25" customHeight="1" x14ac:dyDescent="0.45">
      <c r="A16" s="272"/>
      <c r="B16" s="273"/>
      <c r="C16" s="273"/>
      <c r="D16" s="273"/>
      <c r="E16" s="273"/>
      <c r="F16" s="273"/>
      <c r="G16" s="273"/>
      <c r="H16" s="273"/>
      <c r="I16" s="273"/>
      <c r="J16" s="274"/>
      <c r="K16" s="150"/>
      <c r="L16" s="151">
        <f>L14/$N$14*100</f>
        <v>64.705882352941174</v>
      </c>
      <c r="M16" s="151">
        <f>M14/$N$14*100</f>
        <v>35.294117647058826</v>
      </c>
      <c r="N16" s="16">
        <f t="shared" si="8"/>
        <v>100</v>
      </c>
    </row>
    <row r="17" spans="1:14" ht="14.25" customHeight="1" x14ac:dyDescent="0.45">
      <c r="A17" s="261" t="s">
        <v>255</v>
      </c>
      <c r="B17" s="262"/>
      <c r="C17" s="262"/>
      <c r="D17" s="262"/>
      <c r="E17" s="262"/>
      <c r="F17" s="263"/>
      <c r="G17" s="73" t="s">
        <v>222</v>
      </c>
      <c r="H17" s="73" t="s">
        <v>256</v>
      </c>
      <c r="I17" s="74" t="s">
        <v>228</v>
      </c>
      <c r="J17" s="75" t="s">
        <v>229</v>
      </c>
      <c r="K17" s="152"/>
      <c r="L17" s="69"/>
    </row>
    <row r="18" spans="1:14" ht="14.25" customHeight="1" x14ac:dyDescent="0.45">
      <c r="A18" s="309" t="s">
        <v>311</v>
      </c>
      <c r="B18" s="309"/>
      <c r="C18" s="309"/>
      <c r="D18" s="309"/>
      <c r="E18" s="309"/>
      <c r="F18" s="309"/>
      <c r="G18" s="153">
        <v>10</v>
      </c>
      <c r="H18" s="154">
        <v>5000</v>
      </c>
      <c r="I18" s="155">
        <v>0</v>
      </c>
      <c r="J18" s="156">
        <f>G18*H18*(1+I18)</f>
        <v>50000</v>
      </c>
      <c r="K18" s="152"/>
      <c r="L18" s="69"/>
    </row>
    <row r="19" spans="1:14" ht="14.25" customHeight="1" x14ac:dyDescent="0.45">
      <c r="A19" s="309" t="s">
        <v>312</v>
      </c>
      <c r="B19" s="309"/>
      <c r="C19" s="309"/>
      <c r="D19" s="309"/>
      <c r="E19" s="309"/>
      <c r="F19" s="309"/>
      <c r="G19" s="157">
        <v>60</v>
      </c>
      <c r="H19" s="158">
        <v>600</v>
      </c>
      <c r="I19" s="159">
        <v>0</v>
      </c>
      <c r="J19" s="160">
        <f>G19*H19*(1+I19)</f>
        <v>36000</v>
      </c>
      <c r="K19" s="152"/>
      <c r="L19" s="69"/>
    </row>
    <row r="20" spans="1:14" ht="14.25" customHeight="1" x14ac:dyDescent="0.45">
      <c r="A20" s="309" t="s">
        <v>313</v>
      </c>
      <c r="B20" s="309"/>
      <c r="C20" s="309"/>
      <c r="D20" s="309"/>
      <c r="E20" s="309"/>
      <c r="F20" s="309"/>
      <c r="G20" s="157">
        <v>60</v>
      </c>
      <c r="H20" s="158">
        <v>600</v>
      </c>
      <c r="I20" s="159">
        <v>0</v>
      </c>
      <c r="J20" s="160">
        <f>G20*H20*(1+I20)</f>
        <v>36000</v>
      </c>
      <c r="K20" s="64"/>
      <c r="L20" s="161">
        <f>J15+'[3]Orçamento-Ação1'!J20</f>
        <v>8867971.5322894175</v>
      </c>
    </row>
    <row r="21" spans="1:14" ht="14.25" customHeight="1" x14ac:dyDescent="0.45">
      <c r="A21" s="310" t="s">
        <v>314</v>
      </c>
      <c r="B21" s="311"/>
      <c r="C21" s="311"/>
      <c r="D21" s="311"/>
      <c r="E21" s="311"/>
      <c r="F21" s="312"/>
      <c r="G21" s="162">
        <v>15</v>
      </c>
      <c r="H21" s="158">
        <v>250</v>
      </c>
      <c r="I21" s="155">
        <v>0</v>
      </c>
      <c r="J21" s="160">
        <f>G21*H21*(1+I21)</f>
        <v>3750</v>
      </c>
      <c r="K21" s="65"/>
    </row>
    <row r="22" spans="1:14" ht="14.25" x14ac:dyDescent="0.45">
      <c r="A22" s="275" t="s">
        <v>254</v>
      </c>
      <c r="B22" s="276"/>
      <c r="C22" s="276"/>
      <c r="D22" s="276"/>
      <c r="E22" s="276"/>
      <c r="F22" s="276"/>
      <c r="G22" s="276"/>
      <c r="H22" s="276"/>
      <c r="I22" s="277"/>
      <c r="J22" s="96">
        <f>SUM(J18:J21)</f>
        <v>125750</v>
      </c>
      <c r="K22" s="14"/>
    </row>
    <row r="23" spans="1:14" ht="14.25" customHeight="1" x14ac:dyDescent="0.45">
      <c r="A23" s="281"/>
      <c r="B23" s="282"/>
      <c r="C23" s="282"/>
      <c r="D23" s="282"/>
      <c r="E23" s="282"/>
      <c r="F23" s="282"/>
      <c r="G23" s="282"/>
      <c r="H23" s="282"/>
      <c r="I23" s="282"/>
      <c r="J23" s="283"/>
      <c r="K23" s="98"/>
    </row>
    <row r="24" spans="1:14" ht="14.25" customHeight="1" x14ac:dyDescent="0.45">
      <c r="A24" s="70" t="s">
        <v>270</v>
      </c>
      <c r="B24" s="71"/>
      <c r="C24" s="71"/>
      <c r="D24" s="71"/>
      <c r="E24" s="72"/>
      <c r="F24" s="100" t="s">
        <v>271</v>
      </c>
      <c r="G24" s="100" t="s">
        <v>226</v>
      </c>
      <c r="H24" s="100" t="s">
        <v>272</v>
      </c>
      <c r="I24" s="100" t="s">
        <v>228</v>
      </c>
      <c r="J24" s="101" t="s">
        <v>229</v>
      </c>
      <c r="K24" s="98"/>
      <c r="L24" s="99"/>
    </row>
    <row r="25" spans="1:14" ht="14.25" customHeight="1" x14ac:dyDescent="0.45">
      <c r="A25" s="284" t="s">
        <v>274</v>
      </c>
      <c r="B25" s="285"/>
      <c r="C25" s="285"/>
      <c r="D25" s="285"/>
      <c r="E25" s="286"/>
      <c r="F25" s="102">
        <v>0</v>
      </c>
      <c r="G25" s="102">
        <v>0</v>
      </c>
      <c r="H25" s="103">
        <v>0</v>
      </c>
      <c r="I25" s="104">
        <v>0</v>
      </c>
      <c r="J25" s="105">
        <f>F25*G25*H25</f>
        <v>0</v>
      </c>
      <c r="K25" s="64"/>
      <c r="L25" s="99"/>
      <c r="N25" s="99"/>
    </row>
    <row r="26" spans="1:14" ht="14.25" customHeight="1" x14ac:dyDescent="0.45">
      <c r="A26" s="287" t="s">
        <v>275</v>
      </c>
      <c r="B26" s="288"/>
      <c r="C26" s="288"/>
      <c r="D26" s="288"/>
      <c r="E26" s="289"/>
      <c r="F26" s="106">
        <v>0</v>
      </c>
      <c r="G26" s="106">
        <v>0</v>
      </c>
      <c r="H26" s="107">
        <v>0</v>
      </c>
      <c r="I26" s="108">
        <v>0</v>
      </c>
      <c r="J26" s="109">
        <f>F26*G26*H26</f>
        <v>0</v>
      </c>
      <c r="K26" s="65"/>
    </row>
    <row r="27" spans="1:14" ht="14.25" x14ac:dyDescent="0.45">
      <c r="A27" s="275" t="s">
        <v>254</v>
      </c>
      <c r="B27" s="276"/>
      <c r="C27" s="276"/>
      <c r="D27" s="276"/>
      <c r="E27" s="276"/>
      <c r="F27" s="276"/>
      <c r="G27" s="276"/>
      <c r="H27" s="276"/>
      <c r="I27" s="277"/>
      <c r="J27" s="96">
        <f>SUM(J25:J26)</f>
        <v>0</v>
      </c>
      <c r="K27" s="14"/>
      <c r="L27" s="110"/>
    </row>
    <row r="28" spans="1:14" ht="14.25" customHeight="1" x14ac:dyDescent="0.45">
      <c r="A28" s="281"/>
      <c r="B28" s="282"/>
      <c r="C28" s="282"/>
      <c r="D28" s="282"/>
      <c r="E28" s="282"/>
      <c r="F28" s="282"/>
      <c r="G28" s="282"/>
      <c r="H28" s="282"/>
      <c r="I28" s="282"/>
      <c r="J28" s="283"/>
      <c r="K28" s="98"/>
      <c r="L28" s="110"/>
    </row>
    <row r="29" spans="1:14" ht="14" customHeight="1" x14ac:dyDescent="0.45">
      <c r="A29" s="111" t="s">
        <v>277</v>
      </c>
      <c r="B29" s="112"/>
      <c r="C29" s="112"/>
      <c r="D29" s="112"/>
      <c r="E29" s="113"/>
      <c r="F29" s="73" t="s">
        <v>271</v>
      </c>
      <c r="G29" s="73" t="s">
        <v>226</v>
      </c>
      <c r="H29" s="73" t="s">
        <v>272</v>
      </c>
      <c r="I29" s="73" t="s">
        <v>228</v>
      </c>
      <c r="J29" s="114" t="s">
        <v>229</v>
      </c>
      <c r="K29" s="98"/>
      <c r="L29" s="99" t="s">
        <v>276</v>
      </c>
    </row>
    <row r="30" spans="1:14" ht="14" customHeight="1" x14ac:dyDescent="0.45">
      <c r="A30" s="284" t="s">
        <v>279</v>
      </c>
      <c r="B30" s="285"/>
      <c r="C30" s="285"/>
      <c r="D30" s="285"/>
      <c r="E30" s="286"/>
      <c r="F30" s="102">
        <v>6</v>
      </c>
      <c r="G30" s="102">
        <v>20</v>
      </c>
      <c r="H30" s="115">
        <v>668.06</v>
      </c>
      <c r="I30" s="104">
        <v>0</v>
      </c>
      <c r="J30" s="105">
        <f>F30*G30*H30</f>
        <v>80167.199999999997</v>
      </c>
      <c r="K30" s="64"/>
      <c r="L30" s="99" t="s">
        <v>278</v>
      </c>
      <c r="N30" s="99"/>
    </row>
    <row r="31" spans="1:14" ht="14.25" customHeight="1" x14ac:dyDescent="0.45">
      <c r="A31" s="287" t="s">
        <v>280</v>
      </c>
      <c r="B31" s="288"/>
      <c r="C31" s="288"/>
      <c r="D31" s="288"/>
      <c r="E31" s="289"/>
      <c r="F31" s="106">
        <v>12</v>
      </c>
      <c r="G31" s="106">
        <v>18</v>
      </c>
      <c r="H31" s="107">
        <v>2500</v>
      </c>
      <c r="I31" s="108">
        <v>0</v>
      </c>
      <c r="J31" s="109">
        <f>F31*G31*H31</f>
        <v>540000</v>
      </c>
      <c r="K31" s="65"/>
    </row>
    <row r="32" spans="1:14" ht="14.25" x14ac:dyDescent="0.45">
      <c r="A32" s="275" t="s">
        <v>254</v>
      </c>
      <c r="B32" s="276"/>
      <c r="C32" s="276"/>
      <c r="D32" s="276"/>
      <c r="E32" s="276"/>
      <c r="F32" s="276"/>
      <c r="G32" s="276"/>
      <c r="H32" s="276"/>
      <c r="I32" s="277"/>
      <c r="J32" s="96">
        <f>SUM(J30:J31)</f>
        <v>620167.19999999995</v>
      </c>
      <c r="K32" s="67"/>
    </row>
    <row r="33" spans="1:13" ht="14.25" customHeight="1" x14ac:dyDescent="0.45">
      <c r="A33" s="281"/>
      <c r="B33" s="282"/>
      <c r="C33" s="282"/>
      <c r="D33" s="282"/>
      <c r="E33" s="282"/>
      <c r="F33" s="282"/>
      <c r="G33" s="282"/>
      <c r="H33" s="282"/>
      <c r="I33" s="282"/>
      <c r="J33" s="283"/>
      <c r="K33" s="116"/>
    </row>
    <row r="34" spans="1:13" ht="14.25" customHeight="1" x14ac:dyDescent="0.45">
      <c r="A34" s="111" t="s">
        <v>281</v>
      </c>
      <c r="B34" s="112"/>
      <c r="C34" s="112"/>
      <c r="D34" s="112"/>
      <c r="E34" s="112"/>
      <c r="F34" s="113"/>
      <c r="G34" s="117" t="s">
        <v>226</v>
      </c>
      <c r="H34" s="73" t="s">
        <v>282</v>
      </c>
      <c r="I34" s="74" t="s">
        <v>228</v>
      </c>
      <c r="J34" s="75" t="s">
        <v>229</v>
      </c>
      <c r="K34" s="64"/>
    </row>
    <row r="35" spans="1:13" ht="14.25" customHeight="1" x14ac:dyDescent="0.45">
      <c r="A35" s="290" t="s">
        <v>283</v>
      </c>
      <c r="B35" s="291"/>
      <c r="C35" s="291"/>
      <c r="D35" s="291"/>
      <c r="E35" s="291"/>
      <c r="F35" s="292"/>
      <c r="G35" s="118">
        <v>60</v>
      </c>
      <c r="H35" s="119">
        <v>2500</v>
      </c>
      <c r="I35" s="120">
        <v>0</v>
      </c>
      <c r="J35" s="121">
        <f>G35*H35*(1+I35)</f>
        <v>150000</v>
      </c>
      <c r="K35" s="65"/>
    </row>
    <row r="36" spans="1:13" ht="14.25" x14ac:dyDescent="0.45">
      <c r="A36" s="269" t="s">
        <v>254</v>
      </c>
      <c r="B36" s="293"/>
      <c r="C36" s="293"/>
      <c r="D36" s="293"/>
      <c r="E36" s="293"/>
      <c r="F36" s="293"/>
      <c r="G36" s="293"/>
      <c r="H36" s="293"/>
      <c r="I36" s="294"/>
      <c r="J36" s="122">
        <f>SUM(J35)</f>
        <v>150000</v>
      </c>
      <c r="K36" s="67"/>
    </row>
    <row r="37" spans="1:13" ht="14.25" customHeight="1" x14ac:dyDescent="0.45">
      <c r="A37" s="281"/>
      <c r="B37" s="282"/>
      <c r="C37" s="282"/>
      <c r="D37" s="282"/>
      <c r="E37" s="282"/>
      <c r="F37" s="282"/>
      <c r="G37" s="282"/>
      <c r="H37" s="282"/>
      <c r="I37" s="282"/>
      <c r="J37" s="283"/>
      <c r="K37" s="89"/>
    </row>
    <row r="38" spans="1:13" s="49" customFormat="1" ht="14.25" customHeight="1" x14ac:dyDescent="0.4">
      <c r="A38" s="70" t="s">
        <v>284</v>
      </c>
      <c r="B38" s="71"/>
      <c r="C38" s="71"/>
      <c r="D38" s="71"/>
      <c r="E38" s="71"/>
      <c r="F38" s="72"/>
      <c r="G38" s="100" t="s">
        <v>222</v>
      </c>
      <c r="H38" s="100" t="s">
        <v>256</v>
      </c>
      <c r="I38" s="123" t="s">
        <v>228</v>
      </c>
      <c r="J38" s="124" t="s">
        <v>229</v>
      </c>
      <c r="K38" s="89"/>
      <c r="L38" s="91"/>
      <c r="M38" s="91"/>
    </row>
    <row r="39" spans="1:13" s="49" customFormat="1" ht="14.25" customHeight="1" x14ac:dyDescent="0.4">
      <c r="A39" s="278" t="s">
        <v>285</v>
      </c>
      <c r="B39" s="279"/>
      <c r="C39" s="279"/>
      <c r="D39" s="279"/>
      <c r="E39" s="279"/>
      <c r="F39" s="280"/>
      <c r="G39" s="92">
        <v>1</v>
      </c>
      <c r="H39" s="93">
        <v>443979.98</v>
      </c>
      <c r="I39" s="94">
        <v>0</v>
      </c>
      <c r="J39" s="95">
        <f t="shared" ref="J39:J50" si="9">H39*G39</f>
        <v>443979.98</v>
      </c>
      <c r="K39" s="89"/>
      <c r="L39" s="91"/>
      <c r="M39" s="91"/>
    </row>
    <row r="40" spans="1:13" s="49" customFormat="1" ht="14.25" customHeight="1" x14ac:dyDescent="0.4">
      <c r="A40" s="278" t="s">
        <v>286</v>
      </c>
      <c r="B40" s="279"/>
      <c r="C40" s="279"/>
      <c r="D40" s="279"/>
      <c r="E40" s="279"/>
      <c r="F40" s="280"/>
      <c r="G40" s="92">
        <v>2</v>
      </c>
      <c r="H40" s="93">
        <v>331130.31</v>
      </c>
      <c r="I40" s="94">
        <v>0</v>
      </c>
      <c r="J40" s="95">
        <f t="shared" si="9"/>
        <v>662260.62</v>
      </c>
      <c r="K40" s="89"/>
      <c r="L40" s="91"/>
      <c r="M40" s="91"/>
    </row>
    <row r="41" spans="1:13" s="49" customFormat="1" ht="14.25" customHeight="1" x14ac:dyDescent="0.4">
      <c r="A41" s="278" t="s">
        <v>287</v>
      </c>
      <c r="B41" s="279"/>
      <c r="C41" s="279"/>
      <c r="D41" s="279"/>
      <c r="E41" s="279"/>
      <c r="F41" s="280"/>
      <c r="G41" s="92">
        <v>1</v>
      </c>
      <c r="H41" s="93">
        <v>463017.01</v>
      </c>
      <c r="I41" s="94">
        <v>0</v>
      </c>
      <c r="J41" s="95">
        <f t="shared" si="9"/>
        <v>463017.01</v>
      </c>
      <c r="K41" s="89"/>
      <c r="L41" s="91"/>
      <c r="M41" s="91"/>
    </row>
    <row r="42" spans="1:13" s="49" customFormat="1" ht="14.25" customHeight="1" x14ac:dyDescent="0.4">
      <c r="A42" s="278" t="s">
        <v>288</v>
      </c>
      <c r="B42" s="279"/>
      <c r="C42" s="279"/>
      <c r="D42" s="279"/>
      <c r="E42" s="279"/>
      <c r="F42" s="280"/>
      <c r="G42" s="92">
        <v>1</v>
      </c>
      <c r="H42" s="93">
        <v>300000</v>
      </c>
      <c r="I42" s="94">
        <v>0</v>
      </c>
      <c r="J42" s="95">
        <f t="shared" si="9"/>
        <v>300000</v>
      </c>
      <c r="K42" s="89"/>
      <c r="L42" s="91"/>
      <c r="M42" s="91"/>
    </row>
    <row r="43" spans="1:13" s="49" customFormat="1" ht="14" customHeight="1" x14ac:dyDescent="0.4">
      <c r="A43" s="278" t="s">
        <v>290</v>
      </c>
      <c r="B43" s="279"/>
      <c r="C43" s="279"/>
      <c r="D43" s="279"/>
      <c r="E43" s="279"/>
      <c r="F43" s="280"/>
      <c r="G43" s="92">
        <v>5</v>
      </c>
      <c r="H43" s="93">
        <v>100000</v>
      </c>
      <c r="I43" s="94">
        <v>0</v>
      </c>
      <c r="J43" s="95">
        <f t="shared" si="9"/>
        <v>500000</v>
      </c>
      <c r="K43" s="89"/>
      <c r="L43" s="90" t="s">
        <v>289</v>
      </c>
      <c r="M43" s="91"/>
    </row>
    <row r="44" spans="1:13" s="49" customFormat="1" ht="14.25" customHeight="1" x14ac:dyDescent="0.4">
      <c r="A44" s="278" t="s">
        <v>291</v>
      </c>
      <c r="B44" s="279"/>
      <c r="C44" s="279"/>
      <c r="D44" s="279"/>
      <c r="E44" s="279"/>
      <c r="F44" s="280"/>
      <c r="G44" s="92">
        <v>5</v>
      </c>
      <c r="H44" s="93">
        <v>17589</v>
      </c>
      <c r="I44" s="94">
        <v>0</v>
      </c>
      <c r="J44" s="95">
        <f t="shared" si="9"/>
        <v>87945</v>
      </c>
      <c r="K44" s="89"/>
      <c r="L44" s="91"/>
      <c r="M44" s="91"/>
    </row>
    <row r="45" spans="1:13" s="49" customFormat="1" ht="14.25" customHeight="1" x14ac:dyDescent="0.4">
      <c r="A45" s="278" t="s">
        <v>292</v>
      </c>
      <c r="B45" s="279"/>
      <c r="C45" s="279"/>
      <c r="D45" s="279"/>
      <c r="E45" s="279"/>
      <c r="F45" s="280"/>
      <c r="G45" s="92">
        <v>1</v>
      </c>
      <c r="H45" s="93">
        <v>15384</v>
      </c>
      <c r="I45" s="94">
        <v>0</v>
      </c>
      <c r="J45" s="95">
        <f t="shared" si="9"/>
        <v>15384</v>
      </c>
      <c r="K45" s="89"/>
      <c r="L45" s="90"/>
      <c r="M45" s="91"/>
    </row>
    <row r="46" spans="1:13" s="49" customFormat="1" ht="14.25" customHeight="1" x14ac:dyDescent="0.4">
      <c r="A46" s="278" t="s">
        <v>293</v>
      </c>
      <c r="B46" s="279"/>
      <c r="C46" s="279"/>
      <c r="D46" s="279"/>
      <c r="E46" s="279"/>
      <c r="F46" s="280"/>
      <c r="G46" s="92">
        <v>1</v>
      </c>
      <c r="H46" s="93">
        <v>31791</v>
      </c>
      <c r="I46" s="94">
        <v>0</v>
      </c>
      <c r="J46" s="95">
        <f t="shared" si="9"/>
        <v>31791</v>
      </c>
      <c r="K46" s="125"/>
      <c r="M46" s="91"/>
    </row>
    <row r="47" spans="1:13" ht="14.25" customHeight="1" x14ac:dyDescent="0.45">
      <c r="A47" s="278" t="s">
        <v>294</v>
      </c>
      <c r="B47" s="279"/>
      <c r="C47" s="279"/>
      <c r="D47" s="279"/>
      <c r="E47" s="279"/>
      <c r="F47" s="280"/>
      <c r="G47" s="92">
        <v>2</v>
      </c>
      <c r="H47" s="93">
        <v>7000</v>
      </c>
      <c r="I47" s="94">
        <v>0</v>
      </c>
      <c r="J47" s="95">
        <f t="shared" si="9"/>
        <v>14000</v>
      </c>
      <c r="K47" s="125"/>
    </row>
    <row r="48" spans="1:13" ht="14.25" customHeight="1" x14ac:dyDescent="0.45">
      <c r="A48" s="278" t="s">
        <v>295</v>
      </c>
      <c r="B48" s="279"/>
      <c r="C48" s="279"/>
      <c r="D48" s="279"/>
      <c r="E48" s="279"/>
      <c r="F48" s="280"/>
      <c r="G48" s="126">
        <v>2</v>
      </c>
      <c r="H48" s="127">
        <v>1500</v>
      </c>
      <c r="I48" s="128">
        <v>0</v>
      </c>
      <c r="J48" s="129">
        <f t="shared" si="9"/>
        <v>3000</v>
      </c>
      <c r="K48" s="125"/>
    </row>
    <row r="49" spans="1:15" ht="14.25" customHeight="1" x14ac:dyDescent="0.45">
      <c r="A49" s="298" t="s">
        <v>296</v>
      </c>
      <c r="B49" s="298"/>
      <c r="C49" s="298"/>
      <c r="D49" s="298"/>
      <c r="E49" s="298"/>
      <c r="F49" s="298"/>
      <c r="G49" s="130">
        <v>1</v>
      </c>
      <c r="H49" s="127">
        <v>6000</v>
      </c>
      <c r="I49" s="128">
        <v>0</v>
      </c>
      <c r="J49" s="129">
        <f t="shared" si="9"/>
        <v>6000</v>
      </c>
      <c r="K49" s="64"/>
    </row>
    <row r="50" spans="1:15" ht="14.25" customHeight="1" x14ac:dyDescent="0.45">
      <c r="A50" s="298" t="s">
        <v>297</v>
      </c>
      <c r="B50" s="298"/>
      <c r="C50" s="298"/>
      <c r="D50" s="298"/>
      <c r="E50" s="298"/>
      <c r="F50" s="298"/>
      <c r="G50" s="130">
        <v>4</v>
      </c>
      <c r="H50" s="127">
        <v>200</v>
      </c>
      <c r="I50" s="128">
        <v>0</v>
      </c>
      <c r="J50" s="129">
        <f t="shared" si="9"/>
        <v>800</v>
      </c>
      <c r="K50" s="65"/>
    </row>
    <row r="51" spans="1:15" ht="14.25" x14ac:dyDescent="0.45">
      <c r="A51" s="275" t="s">
        <v>254</v>
      </c>
      <c r="B51" s="276"/>
      <c r="C51" s="276"/>
      <c r="D51" s="276"/>
      <c r="E51" s="276"/>
      <c r="F51" s="276"/>
      <c r="G51" s="276"/>
      <c r="H51" s="276"/>
      <c r="I51" s="277"/>
      <c r="J51" s="96">
        <f>SUM(J39:J50)</f>
        <v>2528177.6100000003</v>
      </c>
      <c r="K51" s="67"/>
    </row>
    <row r="52" spans="1:15" ht="14.25" customHeight="1" x14ac:dyDescent="0.45">
      <c r="A52" s="281"/>
      <c r="B52" s="282"/>
      <c r="C52" s="282"/>
      <c r="D52" s="282"/>
      <c r="E52" s="282"/>
      <c r="F52" s="282"/>
      <c r="G52" s="282"/>
      <c r="H52" s="282"/>
      <c r="I52" s="282"/>
      <c r="J52" s="283"/>
      <c r="K52" s="98"/>
    </row>
    <row r="53" spans="1:15" ht="14.25" customHeight="1" x14ac:dyDescent="0.45">
      <c r="A53" s="111" t="s">
        <v>298</v>
      </c>
      <c r="B53" s="112"/>
      <c r="C53" s="112"/>
      <c r="D53" s="112"/>
      <c r="E53" s="112"/>
      <c r="F53" s="112"/>
      <c r="G53" s="112"/>
      <c r="H53" s="113"/>
      <c r="I53" s="74" t="s">
        <v>299</v>
      </c>
      <c r="J53" s="131" t="s">
        <v>229</v>
      </c>
      <c r="K53" s="98"/>
    </row>
    <row r="54" spans="1:15" ht="14.25" customHeight="1" x14ac:dyDescent="0.45">
      <c r="A54" s="299" t="s">
        <v>300</v>
      </c>
      <c r="B54" s="300"/>
      <c r="C54" s="300"/>
      <c r="D54" s="300"/>
      <c r="E54" s="300"/>
      <c r="F54" s="300"/>
      <c r="G54" s="300"/>
      <c r="H54" s="301"/>
      <c r="I54" s="132">
        <v>7.1999999999999998E-3</v>
      </c>
      <c r="J54" s="105">
        <f>((($J$15+$J$22+$J$27+$J$32+$J$36+J51)/(1-($I$54+$I$55+$I$56+$I$57+$I$58+$I$59+$I$60+$I$64))*I54))</f>
        <v>61984.903915089948</v>
      </c>
      <c r="K54" s="98"/>
    </row>
    <row r="55" spans="1:15" s="15" customFormat="1" ht="14.25" customHeight="1" x14ac:dyDescent="0.45">
      <c r="A55" s="295" t="s">
        <v>301</v>
      </c>
      <c r="B55" s="296"/>
      <c r="C55" s="296"/>
      <c r="D55" s="296"/>
      <c r="E55" s="296"/>
      <c r="F55" s="296"/>
      <c r="G55" s="296"/>
      <c r="H55" s="297"/>
      <c r="I55" s="133">
        <v>3.5000000000000001E-3</v>
      </c>
      <c r="J55" s="134">
        <f>((($J$15+$J$22+$J$27+$J$32+$J$36+J51)/(1-($I$54+$I$55+$I$56+$I$57+$I$58+$I$59+$I$60+$I$64))*I55))</f>
        <v>30131.550514279836</v>
      </c>
      <c r="K55" s="98"/>
      <c r="N55" s="16"/>
      <c r="O55" s="16"/>
    </row>
    <row r="56" spans="1:15" s="15" customFormat="1" ht="14.25" customHeight="1" x14ac:dyDescent="0.45">
      <c r="A56" s="295" t="s">
        <v>302</v>
      </c>
      <c r="B56" s="296"/>
      <c r="C56" s="296"/>
      <c r="D56" s="296"/>
      <c r="E56" s="296"/>
      <c r="F56" s="296"/>
      <c r="G56" s="296"/>
      <c r="H56" s="297"/>
      <c r="I56" s="133">
        <v>1.23E-2</v>
      </c>
      <c r="J56" s="134">
        <f>((($J$15+$J$22+$J$27+$J$32+$J$36+J51)/(1-($I$54+$I$55+$I$56+$I$57+$I$58+$I$59+$I$60+$I$64))*I56))</f>
        <v>105890.877521612</v>
      </c>
      <c r="K56" s="98"/>
      <c r="N56" s="16"/>
      <c r="O56" s="16"/>
    </row>
    <row r="57" spans="1:15" s="15" customFormat="1" ht="14.25" customHeight="1" x14ac:dyDescent="0.45">
      <c r="A57" s="295" t="s">
        <v>303</v>
      </c>
      <c r="B57" s="296"/>
      <c r="C57" s="296"/>
      <c r="D57" s="296"/>
      <c r="E57" s="296"/>
      <c r="F57" s="296"/>
      <c r="G57" s="296"/>
      <c r="H57" s="297"/>
      <c r="I57" s="133">
        <v>1.8800000000000001E-2</v>
      </c>
      <c r="J57" s="134">
        <f>((($J$15+$J$22+$J$27+$J$32+$J$36+J51)/(1-($I$54+$I$55+$I$56+$I$57+$I$58+$I$59+$I$60+$I$64))*I57))</f>
        <v>161849.47133384598</v>
      </c>
      <c r="K57" s="98"/>
      <c r="N57" s="16"/>
      <c r="O57" s="16"/>
    </row>
    <row r="58" spans="1:15" s="15" customFormat="1" ht="14.25" customHeight="1" x14ac:dyDescent="0.45">
      <c r="A58" s="295" t="s">
        <v>304</v>
      </c>
      <c r="B58" s="296"/>
      <c r="C58" s="296"/>
      <c r="D58" s="296"/>
      <c r="E58" s="296"/>
      <c r="F58" s="296"/>
      <c r="G58" s="296"/>
      <c r="H58" s="297"/>
      <c r="I58" s="133">
        <v>1.46E-2</v>
      </c>
      <c r="J58" s="134">
        <f>((($J$15+$J$22+$J$27+$J$32+$J$36+J51)/(1-($I$54+$I$55+$I$56+$I$57+$I$58+$I$59+$I$60+$I$64))*I58))</f>
        <v>125691.61071671017</v>
      </c>
      <c r="K58" s="98"/>
      <c r="N58" s="16"/>
      <c r="O58" s="16"/>
    </row>
    <row r="59" spans="1:15" s="15" customFormat="1" ht="14.25" customHeight="1" x14ac:dyDescent="0.45">
      <c r="A59" s="295" t="s">
        <v>305</v>
      </c>
      <c r="B59" s="296"/>
      <c r="C59" s="296"/>
      <c r="D59" s="296"/>
      <c r="E59" s="296"/>
      <c r="F59" s="296"/>
      <c r="G59" s="296"/>
      <c r="H59" s="297"/>
      <c r="I59" s="133">
        <v>1.3299999999999999E-2</v>
      </c>
      <c r="J59" s="134">
        <f>((($J$15+$J$22+$J$27+$J$32+$J$36+J51)/(1-($I$54+$I$55+$I$56+$I$57+$I$58+$I$59+$I$60+$I$64))*I59))</f>
        <v>114499.89195426338</v>
      </c>
      <c r="K59" s="135"/>
      <c r="N59" s="16"/>
      <c r="O59" s="16"/>
    </row>
    <row r="60" spans="1:15" s="15" customFormat="1" ht="14.25" customHeight="1" x14ac:dyDescent="0.45">
      <c r="A60" s="305" t="s">
        <v>306</v>
      </c>
      <c r="B60" s="306"/>
      <c r="C60" s="306"/>
      <c r="D60" s="306"/>
      <c r="E60" s="306"/>
      <c r="F60" s="306"/>
      <c r="G60" s="306"/>
      <c r="H60" s="307"/>
      <c r="I60" s="136">
        <v>9.7999999999999997E-3</v>
      </c>
      <c r="J60" s="109">
        <f>((($J$15+$J$22+$J$27+$J$32+$J$36+J51)/(1-($I$54+$I$55+$I$56+$I$57+$I$58+$I$59+$I$60+$I$64))*I60))</f>
        <v>84368.341439983546</v>
      </c>
      <c r="K60" s="65"/>
      <c r="N60" s="16"/>
      <c r="O60" s="16"/>
    </row>
    <row r="61" spans="1:15" s="15" customFormat="1" ht="14.25" x14ac:dyDescent="0.45">
      <c r="A61" s="275" t="s">
        <v>254</v>
      </c>
      <c r="B61" s="276"/>
      <c r="C61" s="276"/>
      <c r="D61" s="276"/>
      <c r="E61" s="276"/>
      <c r="F61" s="276"/>
      <c r="G61" s="276"/>
      <c r="H61" s="276"/>
      <c r="I61" s="277"/>
      <c r="J61" s="137">
        <f>SUM(J54:J60)</f>
        <v>684416.64739578485</v>
      </c>
      <c r="K61" s="67"/>
      <c r="N61" s="16"/>
      <c r="O61" s="16"/>
    </row>
    <row r="62" spans="1:15" s="15" customFormat="1" ht="14.25" customHeight="1" x14ac:dyDescent="0.45">
      <c r="A62" s="281"/>
      <c r="B62" s="282"/>
      <c r="C62" s="282"/>
      <c r="D62" s="282"/>
      <c r="E62" s="282"/>
      <c r="F62" s="282"/>
      <c r="G62" s="282"/>
      <c r="H62" s="282"/>
      <c r="I62" s="282"/>
      <c r="J62" s="283"/>
      <c r="K62" s="98"/>
      <c r="N62" s="16"/>
      <c r="O62" s="16"/>
    </row>
    <row r="63" spans="1:15" s="15" customFormat="1" ht="14.25" customHeight="1" x14ac:dyDescent="0.45">
      <c r="A63" s="138" t="s">
        <v>307</v>
      </c>
      <c r="B63" s="138"/>
      <c r="C63" s="138"/>
      <c r="D63" s="138"/>
      <c r="E63" s="138"/>
      <c r="F63" s="138"/>
      <c r="G63" s="138"/>
      <c r="H63" s="139"/>
      <c r="I63" s="123" t="s">
        <v>299</v>
      </c>
      <c r="J63" s="131" t="s">
        <v>229</v>
      </c>
      <c r="K63" s="135"/>
      <c r="N63" s="16"/>
      <c r="O63" s="16"/>
    </row>
    <row r="64" spans="1:15" s="15" customFormat="1" ht="14.25" customHeight="1" x14ac:dyDescent="0.45">
      <c r="A64" s="97" t="s">
        <v>308</v>
      </c>
      <c r="B64" s="308"/>
      <c r="C64" s="308"/>
      <c r="D64" s="308"/>
      <c r="E64" s="308"/>
      <c r="F64" s="308"/>
      <c r="G64" s="308"/>
      <c r="H64" s="308"/>
      <c r="I64" s="140">
        <v>7.0000000000000007E-2</v>
      </c>
      <c r="J64" s="141">
        <f>(J15+J22+J27+J32+J51+J36+J61)/(1-I64)-(J15+J22+J51+J27+J32+J36+J61)</f>
        <v>602631.01028559729</v>
      </c>
      <c r="K64" s="65"/>
      <c r="N64" s="16"/>
      <c r="O64" s="16"/>
    </row>
    <row r="65" spans="1:15" s="15" customFormat="1" ht="14.25" x14ac:dyDescent="0.45">
      <c r="A65" s="269" t="s">
        <v>254</v>
      </c>
      <c r="B65" s="293"/>
      <c r="C65" s="293"/>
      <c r="D65" s="293"/>
      <c r="E65" s="293"/>
      <c r="F65" s="293"/>
      <c r="G65" s="293"/>
      <c r="H65" s="293"/>
      <c r="I65" s="294"/>
      <c r="J65" s="142">
        <f>SUM(J64)</f>
        <v>602631.01028559729</v>
      </c>
      <c r="K65" s="135"/>
      <c r="N65" s="16"/>
      <c r="O65" s="16"/>
    </row>
    <row r="66" spans="1:15" s="15" customFormat="1" ht="14.25" customHeight="1" x14ac:dyDescent="0.45">
      <c r="A66" s="281"/>
      <c r="B66" s="282"/>
      <c r="C66" s="282"/>
      <c r="D66" s="282"/>
      <c r="E66" s="282"/>
      <c r="F66" s="282"/>
      <c r="G66" s="282"/>
      <c r="H66" s="282"/>
      <c r="I66" s="282"/>
      <c r="J66" s="283"/>
      <c r="K66" s="16"/>
      <c r="L66" s="143">
        <v>20621838.401392099</v>
      </c>
      <c r="N66" s="16"/>
      <c r="O66" s="16"/>
    </row>
    <row r="67" spans="1:15" s="15" customFormat="1" ht="14.25" customHeight="1" x14ac:dyDescent="0.45">
      <c r="A67" s="302" t="s">
        <v>309</v>
      </c>
      <c r="B67" s="303"/>
      <c r="C67" s="303"/>
      <c r="D67" s="303"/>
      <c r="E67" s="303"/>
      <c r="F67" s="303"/>
      <c r="G67" s="303"/>
      <c r="H67" s="303"/>
      <c r="I67" s="304"/>
      <c r="J67" s="144">
        <f>SUM(J15+J22+J27+J32+J36+J51+J61+J65)</f>
        <v>8609014.4326513819</v>
      </c>
      <c r="K67" s="16"/>
      <c r="L67" s="15">
        <v>18973396.30850558</v>
      </c>
      <c r="N67" s="16"/>
      <c r="O67" s="16"/>
    </row>
    <row r="68" spans="1:15" s="15" customFormat="1" ht="14.25" customHeight="1" x14ac:dyDescent="0.4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N68" s="16"/>
      <c r="O68" s="16"/>
    </row>
    <row r="69" spans="1:15" s="15" customFormat="1" ht="14.25" customHeight="1" x14ac:dyDescent="0.4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N69" s="16"/>
      <c r="O69" s="16"/>
    </row>
    <row r="70" spans="1:15" s="15" customFormat="1" ht="14.25" customHeight="1" x14ac:dyDescent="0.4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N70" s="16"/>
      <c r="O70" s="16"/>
    </row>
    <row r="71" spans="1:15" ht="14.25" customHeight="1" x14ac:dyDescent="0.45"/>
    <row r="72" spans="1:15" ht="14.25" customHeight="1" x14ac:dyDescent="0.45">
      <c r="C72" s="145"/>
      <c r="E72" s="145"/>
    </row>
    <row r="73" spans="1:15" ht="14.25" customHeight="1" x14ac:dyDescent="0.45"/>
    <row r="74" spans="1:15" ht="14.25" customHeight="1" x14ac:dyDescent="0.45"/>
    <row r="75" spans="1:15" ht="14.25" customHeight="1" x14ac:dyDescent="0.45"/>
    <row r="76" spans="1:15" ht="14.25" customHeight="1" x14ac:dyDescent="0.45"/>
    <row r="77" spans="1:15" ht="14.25" customHeight="1" x14ac:dyDescent="0.45"/>
    <row r="78" spans="1:15" ht="14.25" customHeight="1" x14ac:dyDescent="0.45"/>
    <row r="79" spans="1:15" ht="14.25" customHeight="1" x14ac:dyDescent="0.45"/>
    <row r="80" spans="1:15" ht="14.25" customHeight="1" x14ac:dyDescent="0.45"/>
    <row r="81" ht="14.25" customHeight="1" x14ac:dyDescent="0.45"/>
    <row r="82" ht="14.25" customHeight="1" x14ac:dyDescent="0.45"/>
    <row r="83" ht="14.25" customHeight="1" x14ac:dyDescent="0.45"/>
    <row r="84" ht="14.25" customHeight="1" x14ac:dyDescent="0.45"/>
    <row r="85" ht="14.25" customHeight="1" x14ac:dyDescent="0.45"/>
    <row r="86" ht="14.25" customHeight="1" x14ac:dyDescent="0.45"/>
    <row r="87" ht="14.25" customHeight="1" x14ac:dyDescent="0.45"/>
    <row r="88" ht="14.25" customHeight="1" x14ac:dyDescent="0.45"/>
    <row r="89" ht="14.25" customHeight="1" x14ac:dyDescent="0.45"/>
    <row r="90" ht="14.25" customHeight="1" x14ac:dyDescent="0.45"/>
    <row r="91" ht="14.25" customHeight="1" x14ac:dyDescent="0.45"/>
    <row r="92" ht="14.25" customHeight="1" x14ac:dyDescent="0.45"/>
    <row r="93" ht="14.25" customHeight="1" x14ac:dyDescent="0.45"/>
    <row r="94" ht="14.25" customHeight="1" x14ac:dyDescent="0.45"/>
    <row r="95" ht="14.25" customHeight="1" x14ac:dyDescent="0.45"/>
    <row r="96" ht="14.25" customHeight="1" x14ac:dyDescent="0.45"/>
    <row r="97" ht="14.25" customHeight="1" x14ac:dyDescent="0.45"/>
    <row r="98" ht="14.25" customHeight="1" x14ac:dyDescent="0.45"/>
    <row r="99" ht="14.25" customHeight="1" x14ac:dyDescent="0.45"/>
    <row r="100" ht="14.25" customHeight="1" x14ac:dyDescent="0.45"/>
    <row r="101" ht="14.25" customHeight="1" x14ac:dyDescent="0.45"/>
    <row r="102" ht="14.25" customHeight="1" x14ac:dyDescent="0.45"/>
    <row r="103" ht="14.25" customHeight="1" x14ac:dyDescent="0.45"/>
    <row r="104" ht="14.25" customHeight="1" x14ac:dyDescent="0.45"/>
    <row r="105" ht="14.25" customHeight="1" x14ac:dyDescent="0.45"/>
    <row r="106" ht="14.25" customHeight="1" x14ac:dyDescent="0.45"/>
    <row r="107" ht="14.25" customHeight="1" x14ac:dyDescent="0.45"/>
    <row r="108" ht="14.25" customHeight="1" x14ac:dyDescent="0.45"/>
    <row r="109" ht="14.25" customHeight="1" x14ac:dyDescent="0.45"/>
    <row r="110" ht="14.25" customHeight="1" x14ac:dyDescent="0.45"/>
    <row r="111" ht="14.25" customHeight="1" x14ac:dyDescent="0.45"/>
    <row r="112" ht="14.25" customHeight="1" x14ac:dyDescent="0.45"/>
    <row r="113" ht="14.25" customHeight="1" x14ac:dyDescent="0.45"/>
    <row r="114" ht="14.25" customHeight="1" x14ac:dyDescent="0.45"/>
    <row r="115" ht="14.25" customHeight="1" x14ac:dyDescent="0.45"/>
    <row r="116" ht="14.25" customHeight="1" x14ac:dyDescent="0.45"/>
    <row r="117" ht="14.25" customHeight="1" x14ac:dyDescent="0.45"/>
    <row r="118" ht="14.25" customHeight="1" x14ac:dyDescent="0.45"/>
    <row r="119" ht="14.25" customHeight="1" x14ac:dyDescent="0.45"/>
    <row r="120" ht="14.25" customHeight="1" x14ac:dyDescent="0.45"/>
    <row r="121" ht="14.25" customHeight="1" x14ac:dyDescent="0.45"/>
    <row r="122" ht="14.25" customHeight="1" x14ac:dyDescent="0.45"/>
    <row r="123" ht="14.25" customHeight="1" x14ac:dyDescent="0.45"/>
    <row r="124" ht="14.25" customHeight="1" x14ac:dyDescent="0.45"/>
    <row r="125" ht="14.25" customHeight="1" x14ac:dyDescent="0.45"/>
    <row r="126" ht="14.25" customHeight="1" x14ac:dyDescent="0.45"/>
    <row r="127" ht="14.25" customHeight="1" x14ac:dyDescent="0.45"/>
    <row r="128" ht="14.25" customHeight="1" x14ac:dyDescent="0.45"/>
    <row r="129" ht="14.25" customHeight="1" x14ac:dyDescent="0.45"/>
    <row r="130" ht="14.25" customHeight="1" x14ac:dyDescent="0.45"/>
    <row r="131" ht="14.25" customHeight="1" x14ac:dyDescent="0.45"/>
    <row r="132" ht="14.25" customHeight="1" x14ac:dyDescent="0.45"/>
    <row r="133" ht="14.25" customHeight="1" x14ac:dyDescent="0.45"/>
    <row r="134" ht="14.25" customHeight="1" x14ac:dyDescent="0.45"/>
    <row r="135" ht="14.25" customHeight="1" x14ac:dyDescent="0.45"/>
    <row r="136" ht="14.25" customHeight="1" x14ac:dyDescent="0.45"/>
    <row r="137" ht="14.25" customHeight="1" x14ac:dyDescent="0.45"/>
    <row r="138" ht="14.25" customHeight="1" x14ac:dyDescent="0.45"/>
    <row r="139" ht="14.25" customHeight="1" x14ac:dyDescent="0.45"/>
    <row r="140" ht="14.25" customHeight="1" x14ac:dyDescent="0.45"/>
    <row r="141" ht="14.25" customHeight="1" x14ac:dyDescent="0.45"/>
    <row r="142" ht="14.25" customHeight="1" x14ac:dyDescent="0.45"/>
    <row r="143" ht="14.25" customHeight="1" x14ac:dyDescent="0.45"/>
    <row r="144" ht="14.25" customHeight="1" x14ac:dyDescent="0.45"/>
    <row r="145" ht="14.25" customHeight="1" x14ac:dyDescent="0.45"/>
    <row r="146" ht="14.25" customHeight="1" x14ac:dyDescent="0.45"/>
    <row r="147" ht="14.25" customHeight="1" x14ac:dyDescent="0.45"/>
    <row r="148" ht="14.25" customHeight="1" x14ac:dyDescent="0.45"/>
    <row r="149" ht="14.25" customHeight="1" x14ac:dyDescent="0.45"/>
    <row r="150" ht="14.25" customHeight="1" x14ac:dyDescent="0.45"/>
    <row r="151" ht="14.25" customHeight="1" x14ac:dyDescent="0.45"/>
    <row r="152" ht="14.25" customHeight="1" x14ac:dyDescent="0.45"/>
    <row r="153" ht="14.25" customHeight="1" x14ac:dyDescent="0.45"/>
    <row r="154" ht="14.25" customHeight="1" x14ac:dyDescent="0.45"/>
    <row r="155" ht="14.25" customHeight="1" x14ac:dyDescent="0.45"/>
    <row r="156" ht="14.25" customHeight="1" x14ac:dyDescent="0.45"/>
    <row r="157" ht="14.25" customHeight="1" x14ac:dyDescent="0.45"/>
    <row r="158" ht="14.25" customHeight="1" x14ac:dyDescent="0.45"/>
    <row r="159" ht="14.25" customHeight="1" x14ac:dyDescent="0.45"/>
    <row r="160" ht="14.25" customHeight="1" x14ac:dyDescent="0.45"/>
    <row r="161" ht="14.25" customHeight="1" x14ac:dyDescent="0.45"/>
    <row r="162" ht="14.25" customHeight="1" x14ac:dyDescent="0.45"/>
    <row r="163" ht="14.25" customHeight="1" x14ac:dyDescent="0.45"/>
    <row r="164" ht="14.25" customHeight="1" x14ac:dyDescent="0.45"/>
    <row r="165" ht="14.25" customHeight="1" x14ac:dyDescent="0.45"/>
    <row r="166" ht="14.25" customHeight="1" x14ac:dyDescent="0.45"/>
    <row r="167" ht="14.25" customHeight="1" x14ac:dyDescent="0.45"/>
    <row r="168" ht="14.25" customHeight="1" x14ac:dyDescent="0.45"/>
    <row r="169" ht="14.25" customHeight="1" x14ac:dyDescent="0.45"/>
    <row r="170" ht="14.25" customHeight="1" x14ac:dyDescent="0.45"/>
    <row r="171" ht="14.25" customHeight="1" x14ac:dyDescent="0.45"/>
    <row r="172" ht="14.25" customHeight="1" x14ac:dyDescent="0.45"/>
    <row r="173" ht="14.25" customHeight="1" x14ac:dyDescent="0.45"/>
    <row r="174" ht="14.25" customHeight="1" x14ac:dyDescent="0.45"/>
    <row r="175" ht="14.25" customHeight="1" x14ac:dyDescent="0.45"/>
    <row r="176" ht="14.25" customHeight="1" x14ac:dyDescent="0.45"/>
    <row r="177" ht="14.25" customHeight="1" x14ac:dyDescent="0.45"/>
    <row r="178" ht="14.25" customHeight="1" x14ac:dyDescent="0.45"/>
    <row r="179" ht="14.25" customHeight="1" x14ac:dyDescent="0.45"/>
    <row r="180" ht="14.25" customHeight="1" x14ac:dyDescent="0.45"/>
    <row r="181" ht="14.25" customHeight="1" x14ac:dyDescent="0.45"/>
    <row r="182" ht="14.25" customHeight="1" x14ac:dyDescent="0.45"/>
    <row r="183" ht="14.25" customHeight="1" x14ac:dyDescent="0.45"/>
    <row r="184" ht="14.25" customHeight="1" x14ac:dyDescent="0.45"/>
    <row r="185" ht="14.25" customHeight="1" x14ac:dyDescent="0.45"/>
    <row r="186" ht="14.25" customHeight="1" x14ac:dyDescent="0.45"/>
    <row r="187" ht="14.25" customHeight="1" x14ac:dyDescent="0.45"/>
    <row r="188" ht="14.25" customHeight="1" x14ac:dyDescent="0.45"/>
    <row r="189" ht="14.25" customHeight="1" x14ac:dyDescent="0.45"/>
    <row r="190" ht="14.25" customHeight="1" x14ac:dyDescent="0.45"/>
    <row r="191" ht="14.25" customHeight="1" x14ac:dyDescent="0.45"/>
    <row r="192" ht="14.25" customHeight="1" x14ac:dyDescent="0.45"/>
    <row r="193" ht="14.25" customHeight="1" x14ac:dyDescent="0.45"/>
    <row r="194" ht="14.25" customHeight="1" x14ac:dyDescent="0.45"/>
    <row r="195" ht="14.25" customHeight="1" x14ac:dyDescent="0.45"/>
    <row r="196" ht="14.25" customHeight="1" x14ac:dyDescent="0.45"/>
    <row r="197" ht="14.25" customHeight="1" x14ac:dyDescent="0.45"/>
    <row r="198" ht="14.25" customHeight="1" x14ac:dyDescent="0.45"/>
    <row r="199" ht="14.25" customHeight="1" x14ac:dyDescent="0.45"/>
    <row r="200" ht="14.25" customHeight="1" x14ac:dyDescent="0.45"/>
    <row r="201" ht="14.25" customHeight="1" x14ac:dyDescent="0.45"/>
    <row r="202" ht="14.25" customHeight="1" x14ac:dyDescent="0.45"/>
    <row r="203" ht="14.25" customHeight="1" x14ac:dyDescent="0.45"/>
    <row r="204" ht="14.25" customHeight="1" x14ac:dyDescent="0.45"/>
    <row r="205" ht="14.25" customHeight="1" x14ac:dyDescent="0.45"/>
    <row r="206" ht="14.25" customHeight="1" x14ac:dyDescent="0.45"/>
    <row r="207" ht="14.25" customHeight="1" x14ac:dyDescent="0.45"/>
    <row r="208" ht="14.25" customHeight="1" x14ac:dyDescent="0.45"/>
    <row r="209" ht="14.25" customHeight="1" x14ac:dyDescent="0.45"/>
    <row r="210" ht="14.25" customHeight="1" x14ac:dyDescent="0.45"/>
    <row r="211" ht="14.25" customHeight="1" x14ac:dyDescent="0.45"/>
    <row r="212" ht="14.25" customHeight="1" x14ac:dyDescent="0.45"/>
    <row r="213" ht="14.25" customHeight="1" x14ac:dyDescent="0.45"/>
    <row r="214" ht="14.25" customHeight="1" x14ac:dyDescent="0.45"/>
    <row r="215" ht="14.25" customHeight="1" x14ac:dyDescent="0.45"/>
    <row r="216" ht="14.25" customHeight="1" x14ac:dyDescent="0.45"/>
    <row r="217" ht="14.25" customHeight="1" x14ac:dyDescent="0.45"/>
    <row r="218" ht="14.25" customHeight="1" x14ac:dyDescent="0.45"/>
    <row r="219" ht="14.25" customHeight="1" x14ac:dyDescent="0.45"/>
    <row r="220" ht="14.25" customHeight="1" x14ac:dyDescent="0.45"/>
    <row r="221" ht="14.25" customHeight="1" x14ac:dyDescent="0.45"/>
    <row r="222" ht="14.25" customHeight="1" x14ac:dyDescent="0.45"/>
    <row r="223" ht="14.25" customHeight="1" x14ac:dyDescent="0.45"/>
    <row r="224" ht="14.25" customHeight="1" x14ac:dyDescent="0.45"/>
    <row r="225" ht="14.25" customHeight="1" x14ac:dyDescent="0.45"/>
    <row r="226" ht="14.25" customHeight="1" x14ac:dyDescent="0.45"/>
    <row r="227" ht="14.25" customHeight="1" x14ac:dyDescent="0.45"/>
    <row r="228" ht="14.25" customHeight="1" x14ac:dyDescent="0.45"/>
    <row r="229" ht="14.25" customHeight="1" x14ac:dyDescent="0.45"/>
    <row r="230" ht="14.25" customHeight="1" x14ac:dyDescent="0.45"/>
    <row r="231" ht="14.25" customHeight="1" x14ac:dyDescent="0.45"/>
    <row r="232" ht="14.25" customHeight="1" x14ac:dyDescent="0.45"/>
    <row r="233" ht="14.25" customHeight="1" x14ac:dyDescent="0.45"/>
    <row r="234" ht="14.25" customHeight="1" x14ac:dyDescent="0.45"/>
    <row r="235" ht="14.25" customHeight="1" x14ac:dyDescent="0.45"/>
    <row r="236" ht="14.25" customHeight="1" x14ac:dyDescent="0.45"/>
    <row r="237" ht="14.25" customHeight="1" x14ac:dyDescent="0.45"/>
    <row r="238" ht="14.25" customHeight="1" x14ac:dyDescent="0.45"/>
    <row r="239" ht="14.25" customHeight="1" x14ac:dyDescent="0.45"/>
    <row r="240" ht="14.25" customHeight="1" x14ac:dyDescent="0.45"/>
    <row r="241" ht="14.25" customHeight="1" x14ac:dyDescent="0.45"/>
    <row r="242" ht="14.25" customHeight="1" x14ac:dyDescent="0.45"/>
    <row r="243" ht="14.25" customHeight="1" x14ac:dyDescent="0.45"/>
    <row r="244" ht="14.25" customHeight="1" x14ac:dyDescent="0.45"/>
    <row r="245" ht="14.25" customHeight="1" x14ac:dyDescent="0.45"/>
    <row r="246" ht="14.25" customHeight="1" x14ac:dyDescent="0.45"/>
    <row r="247" ht="14.25" customHeight="1" x14ac:dyDescent="0.45"/>
    <row r="248" ht="14.25" customHeight="1" x14ac:dyDescent="0.45"/>
    <row r="249" ht="14.25" customHeight="1" x14ac:dyDescent="0.45"/>
    <row r="250" ht="14.25" customHeight="1" x14ac:dyDescent="0.45"/>
    <row r="251" ht="14.25" customHeight="1" x14ac:dyDescent="0.45"/>
    <row r="252" ht="14.25" customHeight="1" x14ac:dyDescent="0.45"/>
    <row r="253" ht="14.25" customHeight="1" x14ac:dyDescent="0.45"/>
    <row r="254" ht="14.25" customHeight="1" x14ac:dyDescent="0.45"/>
    <row r="255" ht="14.25" customHeight="1" x14ac:dyDescent="0.45"/>
    <row r="256" ht="14.25" customHeight="1" x14ac:dyDescent="0.45"/>
    <row r="257" ht="14.25" customHeight="1" x14ac:dyDescent="0.45"/>
    <row r="258" ht="14.25" customHeight="1" x14ac:dyDescent="0.45"/>
    <row r="259" ht="14.25" customHeight="1" x14ac:dyDescent="0.45"/>
    <row r="260" ht="14.25" customHeight="1" x14ac:dyDescent="0.45"/>
    <row r="261" ht="14.25" customHeight="1" x14ac:dyDescent="0.45"/>
    <row r="262" ht="14.25" customHeight="1" x14ac:dyDescent="0.45"/>
    <row r="263" ht="14.25" customHeight="1" x14ac:dyDescent="0.45"/>
    <row r="264" ht="14.25" customHeight="1" x14ac:dyDescent="0.45"/>
    <row r="265" ht="14.25" customHeight="1" x14ac:dyDescent="0.45"/>
    <row r="266" ht="14.25" customHeight="1" x14ac:dyDescent="0.45"/>
    <row r="267" ht="14.25" customHeight="1" x14ac:dyDescent="0.45"/>
    <row r="268" ht="14.25" customHeight="1" x14ac:dyDescent="0.45"/>
    <row r="269" ht="14.25" customHeight="1" x14ac:dyDescent="0.45"/>
    <row r="270" ht="14.25" customHeight="1" x14ac:dyDescent="0.45"/>
    <row r="271" ht="14.25" customHeight="1" x14ac:dyDescent="0.45"/>
    <row r="272" ht="14.25" customHeight="1" x14ac:dyDescent="0.45"/>
    <row r="273" ht="14.25" customHeight="1" x14ac:dyDescent="0.45"/>
    <row r="274" ht="14.25" customHeight="1" x14ac:dyDescent="0.45"/>
    <row r="275" ht="14.25" customHeight="1" x14ac:dyDescent="0.45"/>
    <row r="276" ht="14.25" customHeight="1" x14ac:dyDescent="0.45"/>
    <row r="277" ht="14.25" customHeight="1" x14ac:dyDescent="0.45"/>
    <row r="278" ht="14.25" customHeight="1" x14ac:dyDescent="0.45"/>
    <row r="279" ht="14.25" customHeight="1" x14ac:dyDescent="0.45"/>
    <row r="280" ht="14.25" customHeight="1" x14ac:dyDescent="0.45"/>
    <row r="281" ht="14.25" customHeight="1" x14ac:dyDescent="0.45"/>
    <row r="282" ht="14.25" customHeight="1" x14ac:dyDescent="0.45"/>
    <row r="283" ht="14.25" customHeight="1" x14ac:dyDescent="0.45"/>
    <row r="284" ht="14.25" customHeight="1" x14ac:dyDescent="0.45"/>
    <row r="285" ht="14.25" customHeight="1" x14ac:dyDescent="0.45"/>
    <row r="286" ht="14.25" customHeight="1" x14ac:dyDescent="0.45"/>
    <row r="287" ht="14.25" customHeight="1" x14ac:dyDescent="0.45"/>
    <row r="288" ht="14.25" customHeight="1" x14ac:dyDescent="0.45"/>
    <row r="289" ht="14.25" customHeight="1" x14ac:dyDescent="0.45"/>
    <row r="290" ht="14.25" customHeight="1" x14ac:dyDescent="0.45"/>
    <row r="291" ht="14.25" customHeight="1" x14ac:dyDescent="0.45"/>
    <row r="292" ht="14.25" customHeight="1" x14ac:dyDescent="0.45"/>
    <row r="293" ht="14.25" customHeight="1" x14ac:dyDescent="0.45"/>
    <row r="294" ht="14.25" customHeight="1" x14ac:dyDescent="0.45"/>
    <row r="295" ht="14.25" customHeight="1" x14ac:dyDescent="0.45"/>
    <row r="296" ht="14.25" customHeight="1" x14ac:dyDescent="0.45"/>
    <row r="297" ht="14.25" customHeight="1" x14ac:dyDescent="0.45"/>
    <row r="298" ht="14.25" customHeight="1" x14ac:dyDescent="0.45"/>
    <row r="299" ht="14.25" customHeight="1" x14ac:dyDescent="0.45"/>
    <row r="300" ht="14.25" customHeight="1" x14ac:dyDescent="0.45"/>
    <row r="301" ht="14.25" customHeight="1" x14ac:dyDescent="0.45"/>
    <row r="302" ht="14.25" customHeight="1" x14ac:dyDescent="0.45"/>
    <row r="303" ht="14.25" customHeight="1" x14ac:dyDescent="0.45"/>
    <row r="304" ht="14.25" customHeight="1" x14ac:dyDescent="0.45"/>
    <row r="305" ht="14.25" customHeight="1" x14ac:dyDescent="0.45"/>
    <row r="306" ht="14.25" customHeight="1" x14ac:dyDescent="0.45"/>
    <row r="307" ht="14.25" customHeight="1" x14ac:dyDescent="0.45"/>
    <row r="308" ht="14.25" customHeight="1" x14ac:dyDescent="0.45"/>
    <row r="309" ht="14.25" customHeight="1" x14ac:dyDescent="0.45"/>
    <row r="310" ht="14.25" customHeight="1" x14ac:dyDescent="0.45"/>
    <row r="311" ht="14.25" customHeight="1" x14ac:dyDescent="0.45"/>
    <row r="312" ht="14.25" customHeight="1" x14ac:dyDescent="0.45"/>
    <row r="313" ht="14.25" customHeight="1" x14ac:dyDescent="0.45"/>
    <row r="314" ht="14.25" customHeight="1" x14ac:dyDescent="0.45"/>
    <row r="315" ht="14.25" customHeight="1" x14ac:dyDescent="0.45"/>
    <row r="316" ht="14.25" customHeight="1" x14ac:dyDescent="0.45"/>
    <row r="317" ht="14.25" customHeight="1" x14ac:dyDescent="0.45"/>
    <row r="318" ht="14.25" customHeight="1" x14ac:dyDescent="0.45"/>
    <row r="319" ht="14.25" customHeight="1" x14ac:dyDescent="0.45"/>
    <row r="320" ht="14.25" customHeight="1" x14ac:dyDescent="0.45"/>
    <row r="321" ht="14.25" customHeight="1" x14ac:dyDescent="0.45"/>
    <row r="322" ht="14.25" customHeight="1" x14ac:dyDescent="0.45"/>
    <row r="323" ht="14.25" customHeight="1" x14ac:dyDescent="0.45"/>
    <row r="324" ht="14.25" customHeight="1" x14ac:dyDescent="0.45"/>
    <row r="325" ht="14.25" customHeight="1" x14ac:dyDescent="0.45"/>
    <row r="326" ht="14.25" customHeight="1" x14ac:dyDescent="0.45"/>
    <row r="327" ht="14.25" customHeight="1" x14ac:dyDescent="0.45"/>
    <row r="328" ht="14.25" customHeight="1" x14ac:dyDescent="0.45"/>
    <row r="329" ht="14.25" customHeight="1" x14ac:dyDescent="0.45"/>
    <row r="330" ht="14.25" customHeight="1" x14ac:dyDescent="0.45"/>
    <row r="331" ht="14.25" customHeight="1" x14ac:dyDescent="0.45"/>
    <row r="332" ht="14.25" customHeight="1" x14ac:dyDescent="0.45"/>
    <row r="333" ht="14.25" customHeight="1" x14ac:dyDescent="0.45"/>
    <row r="334" ht="14.25" customHeight="1" x14ac:dyDescent="0.45"/>
    <row r="335" ht="14.25" customHeight="1" x14ac:dyDescent="0.45"/>
    <row r="336" ht="14.25" customHeight="1" x14ac:dyDescent="0.45"/>
    <row r="337" ht="14.25" customHeight="1" x14ac:dyDescent="0.45"/>
    <row r="338" ht="14.25" customHeight="1" x14ac:dyDescent="0.45"/>
    <row r="339" ht="14.25" customHeight="1" x14ac:dyDescent="0.45"/>
    <row r="340" ht="14.25" customHeight="1" x14ac:dyDescent="0.45"/>
    <row r="341" ht="14.25" customHeight="1" x14ac:dyDescent="0.45"/>
    <row r="342" ht="14.25" customHeight="1" x14ac:dyDescent="0.45"/>
    <row r="343" ht="14.25" customHeight="1" x14ac:dyDescent="0.45"/>
    <row r="344" ht="14.25" customHeight="1" x14ac:dyDescent="0.45"/>
    <row r="345" ht="14.25" customHeight="1" x14ac:dyDescent="0.45"/>
    <row r="346" ht="14.25" customHeight="1" x14ac:dyDescent="0.45"/>
    <row r="347" ht="14.25" customHeight="1" x14ac:dyDescent="0.45"/>
    <row r="348" ht="14.25" customHeight="1" x14ac:dyDescent="0.45"/>
    <row r="349" ht="14.25" customHeight="1" x14ac:dyDescent="0.45"/>
    <row r="350" ht="14.25" customHeight="1" x14ac:dyDescent="0.45"/>
    <row r="351" ht="14.25" customHeight="1" x14ac:dyDescent="0.45"/>
    <row r="352" ht="14.25" customHeight="1" x14ac:dyDescent="0.45"/>
    <row r="353" ht="14.25" customHeight="1" x14ac:dyDescent="0.45"/>
    <row r="354" ht="14.25" customHeight="1" x14ac:dyDescent="0.45"/>
    <row r="355" ht="14.25" customHeight="1" x14ac:dyDescent="0.45"/>
    <row r="356" ht="14.25" customHeight="1" x14ac:dyDescent="0.45"/>
    <row r="357" ht="14.25" customHeight="1" x14ac:dyDescent="0.45"/>
    <row r="358" ht="14.25" customHeight="1" x14ac:dyDescent="0.45"/>
    <row r="359" ht="14.25" customHeight="1" x14ac:dyDescent="0.45"/>
    <row r="360" ht="14.25" customHeight="1" x14ac:dyDescent="0.45"/>
    <row r="361" ht="14.25" customHeight="1" x14ac:dyDescent="0.45"/>
    <row r="362" ht="14.25" customHeight="1" x14ac:dyDescent="0.45"/>
    <row r="363" ht="14.25" customHeight="1" x14ac:dyDescent="0.45"/>
    <row r="364" ht="14.25" customHeight="1" x14ac:dyDescent="0.45"/>
    <row r="365" ht="14.25" customHeight="1" x14ac:dyDescent="0.45"/>
    <row r="366" ht="14.25" customHeight="1" x14ac:dyDescent="0.45"/>
    <row r="367" ht="14.25" customHeight="1" x14ac:dyDescent="0.45"/>
    <row r="368" ht="14.25" customHeight="1" x14ac:dyDescent="0.45"/>
    <row r="369" ht="14.25" customHeight="1" x14ac:dyDescent="0.45"/>
    <row r="370" ht="14.25" customHeight="1" x14ac:dyDescent="0.45"/>
    <row r="371" ht="14.25" customHeight="1" x14ac:dyDescent="0.45"/>
    <row r="372" ht="14.25" customHeight="1" x14ac:dyDescent="0.45"/>
    <row r="373" ht="14.25" customHeight="1" x14ac:dyDescent="0.45"/>
    <row r="374" ht="14.25" customHeight="1" x14ac:dyDescent="0.45"/>
    <row r="375" ht="14.25" customHeight="1" x14ac:dyDescent="0.45"/>
    <row r="376" ht="14.25" customHeight="1" x14ac:dyDescent="0.45"/>
    <row r="377" ht="14.25" customHeight="1" x14ac:dyDescent="0.45"/>
    <row r="378" ht="14.25" customHeight="1" x14ac:dyDescent="0.45"/>
    <row r="379" ht="14.25" customHeight="1" x14ac:dyDescent="0.45"/>
    <row r="380" ht="14.25" customHeight="1" x14ac:dyDescent="0.45"/>
    <row r="381" ht="14.25" customHeight="1" x14ac:dyDescent="0.45"/>
    <row r="382" ht="14.25" customHeight="1" x14ac:dyDescent="0.45"/>
    <row r="383" ht="14.25" customHeight="1" x14ac:dyDescent="0.45"/>
    <row r="384" ht="14.25" customHeight="1" x14ac:dyDescent="0.45"/>
    <row r="385" ht="14.25" customHeight="1" x14ac:dyDescent="0.45"/>
    <row r="386" ht="14.25" customHeight="1" x14ac:dyDescent="0.45"/>
    <row r="387" ht="14.25" customHeight="1" x14ac:dyDescent="0.45"/>
    <row r="388" ht="14.25" customHeight="1" x14ac:dyDescent="0.45"/>
    <row r="389" ht="14.25" customHeight="1" x14ac:dyDescent="0.45"/>
    <row r="390" ht="14.25" customHeight="1" x14ac:dyDescent="0.45"/>
    <row r="391" ht="14.25" customHeight="1" x14ac:dyDescent="0.45"/>
    <row r="392" ht="14.25" customHeight="1" x14ac:dyDescent="0.45"/>
    <row r="393" ht="14.25" customHeight="1" x14ac:dyDescent="0.45"/>
    <row r="394" ht="14.25" customHeight="1" x14ac:dyDescent="0.45"/>
    <row r="395" ht="14.25" customHeight="1" x14ac:dyDescent="0.45"/>
    <row r="396" ht="14.25" customHeight="1" x14ac:dyDescent="0.45"/>
    <row r="397" ht="14.25" customHeight="1" x14ac:dyDescent="0.45"/>
    <row r="398" ht="14.25" customHeight="1" x14ac:dyDescent="0.45"/>
    <row r="399" ht="14.25" customHeight="1" x14ac:dyDescent="0.45"/>
    <row r="400" ht="14.25" customHeight="1" x14ac:dyDescent="0.45"/>
    <row r="401" ht="14.25" customHeight="1" x14ac:dyDescent="0.45"/>
    <row r="402" ht="14.25" customHeight="1" x14ac:dyDescent="0.45"/>
    <row r="403" ht="14.25" customHeight="1" x14ac:dyDescent="0.45"/>
    <row r="404" ht="14.25" customHeight="1" x14ac:dyDescent="0.45"/>
    <row r="405" ht="14.25" customHeight="1" x14ac:dyDescent="0.45"/>
    <row r="406" ht="14.25" customHeight="1" x14ac:dyDescent="0.45"/>
    <row r="407" ht="14.25" customHeight="1" x14ac:dyDescent="0.45"/>
    <row r="408" ht="14.25" customHeight="1" x14ac:dyDescent="0.45"/>
    <row r="409" ht="14.25" customHeight="1" x14ac:dyDescent="0.45"/>
    <row r="410" ht="14.25" customHeight="1" x14ac:dyDescent="0.45"/>
    <row r="411" ht="14.25" customHeight="1" x14ac:dyDescent="0.45"/>
    <row r="412" ht="14.25" customHeight="1" x14ac:dyDescent="0.45"/>
    <row r="413" ht="14.25" customHeight="1" x14ac:dyDescent="0.45"/>
    <row r="414" ht="14.25" customHeight="1" x14ac:dyDescent="0.45"/>
    <row r="415" ht="14.25" customHeight="1" x14ac:dyDescent="0.45"/>
    <row r="416" ht="14.25" customHeight="1" x14ac:dyDescent="0.45"/>
    <row r="417" ht="14.25" customHeight="1" x14ac:dyDescent="0.45"/>
    <row r="418" ht="14.25" customHeight="1" x14ac:dyDescent="0.45"/>
    <row r="419" ht="14.25" customHeight="1" x14ac:dyDescent="0.45"/>
    <row r="420" ht="14.25" customHeight="1" x14ac:dyDescent="0.45"/>
    <row r="421" ht="14.25" customHeight="1" x14ac:dyDescent="0.45"/>
    <row r="422" ht="14.25" customHeight="1" x14ac:dyDescent="0.45"/>
    <row r="423" ht="14.25" customHeight="1" x14ac:dyDescent="0.45"/>
    <row r="424" ht="14.25" customHeight="1" x14ac:dyDescent="0.45"/>
    <row r="425" ht="14.25" customHeight="1" x14ac:dyDescent="0.45"/>
    <row r="426" ht="14.25" customHeight="1" x14ac:dyDescent="0.45"/>
    <row r="427" ht="14.25" customHeight="1" x14ac:dyDescent="0.45"/>
    <row r="428" ht="14.25" customHeight="1" x14ac:dyDescent="0.45"/>
    <row r="429" ht="14.25" customHeight="1" x14ac:dyDescent="0.45"/>
    <row r="430" ht="14.25" customHeight="1" x14ac:dyDescent="0.45"/>
    <row r="431" ht="14.25" customHeight="1" x14ac:dyDescent="0.45"/>
    <row r="432" ht="14.25" customHeight="1" x14ac:dyDescent="0.45"/>
    <row r="433" ht="14.25" customHeight="1" x14ac:dyDescent="0.45"/>
    <row r="434" ht="14.25" customHeight="1" x14ac:dyDescent="0.45"/>
    <row r="435" ht="14.25" customHeight="1" x14ac:dyDescent="0.45"/>
    <row r="436" ht="14.25" customHeight="1" x14ac:dyDescent="0.45"/>
    <row r="437" ht="14.25" customHeight="1" x14ac:dyDescent="0.45"/>
    <row r="438" ht="14.25" customHeight="1" x14ac:dyDescent="0.45"/>
    <row r="439" ht="14.25" customHeight="1" x14ac:dyDescent="0.45"/>
    <row r="440" ht="14.25" customHeight="1" x14ac:dyDescent="0.45"/>
    <row r="441" ht="14.25" customHeight="1" x14ac:dyDescent="0.45"/>
    <row r="442" ht="14.25" customHeight="1" x14ac:dyDescent="0.45"/>
    <row r="443" ht="14.25" customHeight="1" x14ac:dyDescent="0.45"/>
    <row r="444" ht="14.25" customHeight="1" x14ac:dyDescent="0.45"/>
    <row r="445" ht="14.25" customHeight="1" x14ac:dyDescent="0.45"/>
    <row r="446" ht="14.25" customHeight="1" x14ac:dyDescent="0.45"/>
    <row r="447" ht="14.25" customHeight="1" x14ac:dyDescent="0.45"/>
    <row r="448" ht="14.25" customHeight="1" x14ac:dyDescent="0.45"/>
    <row r="449" ht="14.25" customHeight="1" x14ac:dyDescent="0.45"/>
    <row r="450" ht="14.25" customHeight="1" x14ac:dyDescent="0.45"/>
    <row r="451" ht="14.25" customHeight="1" x14ac:dyDescent="0.45"/>
    <row r="452" ht="14.25" customHeight="1" x14ac:dyDescent="0.45"/>
    <row r="453" ht="14.25" customHeight="1" x14ac:dyDescent="0.45"/>
    <row r="454" ht="14.25" customHeight="1" x14ac:dyDescent="0.45"/>
    <row r="455" ht="14.25" customHeight="1" x14ac:dyDescent="0.45"/>
    <row r="456" ht="14.25" customHeight="1" x14ac:dyDescent="0.45"/>
    <row r="457" ht="14.25" customHeight="1" x14ac:dyDescent="0.45"/>
    <row r="458" ht="14.25" customHeight="1" x14ac:dyDescent="0.45"/>
    <row r="459" ht="14.25" customHeight="1" x14ac:dyDescent="0.45"/>
    <row r="460" ht="14.25" customHeight="1" x14ac:dyDescent="0.45"/>
    <row r="461" ht="14.25" customHeight="1" x14ac:dyDescent="0.45"/>
    <row r="462" ht="14.25" customHeight="1" x14ac:dyDescent="0.45"/>
    <row r="463" ht="14.25" customHeight="1" x14ac:dyDescent="0.45"/>
    <row r="464" ht="14.25" customHeight="1" x14ac:dyDescent="0.45"/>
    <row r="465" ht="14.25" customHeight="1" x14ac:dyDescent="0.45"/>
    <row r="466" ht="14.25" customHeight="1" x14ac:dyDescent="0.45"/>
    <row r="467" ht="14.25" customHeight="1" x14ac:dyDescent="0.45"/>
    <row r="468" ht="14.25" customHeight="1" x14ac:dyDescent="0.45"/>
    <row r="469" ht="14.25" customHeight="1" x14ac:dyDescent="0.45"/>
    <row r="470" ht="14.25" customHeight="1" x14ac:dyDescent="0.45"/>
    <row r="471" ht="14.25" customHeight="1" x14ac:dyDescent="0.45"/>
    <row r="472" ht="14.25" customHeight="1" x14ac:dyDescent="0.45"/>
    <row r="473" ht="14.25" customHeight="1" x14ac:dyDescent="0.45"/>
    <row r="474" ht="14.25" customHeight="1" x14ac:dyDescent="0.45"/>
    <row r="475" ht="14.25" customHeight="1" x14ac:dyDescent="0.45"/>
    <row r="476" ht="14.25" customHeight="1" x14ac:dyDescent="0.45"/>
    <row r="477" ht="14.25" customHeight="1" x14ac:dyDescent="0.45"/>
    <row r="478" ht="14.25" customHeight="1" x14ac:dyDescent="0.45"/>
    <row r="479" ht="14.25" customHeight="1" x14ac:dyDescent="0.45"/>
    <row r="480" ht="14.25" customHeight="1" x14ac:dyDescent="0.45"/>
    <row r="481" ht="14.25" customHeight="1" x14ac:dyDescent="0.45"/>
    <row r="482" ht="14.25" customHeight="1" x14ac:dyDescent="0.45"/>
    <row r="483" ht="14.25" customHeight="1" x14ac:dyDescent="0.45"/>
    <row r="484" ht="14.25" customHeight="1" x14ac:dyDescent="0.45"/>
    <row r="485" ht="14.25" customHeight="1" x14ac:dyDescent="0.45"/>
    <row r="486" ht="14.25" customHeight="1" x14ac:dyDescent="0.45"/>
    <row r="487" ht="14.25" customHeight="1" x14ac:dyDescent="0.45"/>
    <row r="488" ht="14.25" customHeight="1" x14ac:dyDescent="0.45"/>
    <row r="489" ht="14.25" customHeight="1" x14ac:dyDescent="0.45"/>
    <row r="490" ht="14.25" customHeight="1" x14ac:dyDescent="0.45"/>
    <row r="491" ht="14.25" customHeight="1" x14ac:dyDescent="0.45"/>
    <row r="492" ht="14.25" customHeight="1" x14ac:dyDescent="0.45"/>
    <row r="493" ht="14.25" customHeight="1" x14ac:dyDescent="0.45"/>
    <row r="494" ht="14.25" customHeight="1" x14ac:dyDescent="0.45"/>
    <row r="495" ht="14.25" customHeight="1" x14ac:dyDescent="0.45"/>
    <row r="496" ht="14.25" customHeight="1" x14ac:dyDescent="0.45"/>
    <row r="497" ht="14.25" customHeight="1" x14ac:dyDescent="0.45"/>
    <row r="498" ht="14.25" customHeight="1" x14ac:dyDescent="0.45"/>
    <row r="499" ht="14.25" customHeight="1" x14ac:dyDescent="0.45"/>
    <row r="500" ht="14.25" customHeight="1" x14ac:dyDescent="0.45"/>
    <row r="501" ht="14.25" customHeight="1" x14ac:dyDescent="0.45"/>
    <row r="502" ht="14.25" customHeight="1" x14ac:dyDescent="0.45"/>
    <row r="503" ht="14.25" customHeight="1" x14ac:dyDescent="0.45"/>
    <row r="504" ht="14.25" customHeight="1" x14ac:dyDescent="0.45"/>
    <row r="505" ht="14.25" customHeight="1" x14ac:dyDescent="0.45"/>
    <row r="506" ht="14.25" customHeight="1" x14ac:dyDescent="0.45"/>
    <row r="507" ht="14.25" customHeight="1" x14ac:dyDescent="0.45"/>
    <row r="508" ht="14.25" customHeight="1" x14ac:dyDescent="0.45"/>
    <row r="509" ht="14.25" customHeight="1" x14ac:dyDescent="0.45"/>
    <row r="510" ht="14.25" customHeight="1" x14ac:dyDescent="0.45"/>
    <row r="511" ht="14.25" customHeight="1" x14ac:dyDescent="0.45"/>
    <row r="512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</sheetData>
  <mergeCells count="56">
    <mergeCell ref="A66:J66"/>
    <mergeCell ref="A67:I67"/>
    <mergeCell ref="A59:H59"/>
    <mergeCell ref="A60:H60"/>
    <mergeCell ref="A61:I61"/>
    <mergeCell ref="A62:J62"/>
    <mergeCell ref="B64:H64"/>
    <mergeCell ref="A65:I65"/>
    <mergeCell ref="A58:H58"/>
    <mergeCell ref="A46:F46"/>
    <mergeCell ref="A47:F47"/>
    <mergeCell ref="A48:F48"/>
    <mergeCell ref="A49:F49"/>
    <mergeCell ref="A50:F50"/>
    <mergeCell ref="A51:I51"/>
    <mergeCell ref="A52:J52"/>
    <mergeCell ref="A54:H54"/>
    <mergeCell ref="A55:H55"/>
    <mergeCell ref="A56:H56"/>
    <mergeCell ref="A57:H57"/>
    <mergeCell ref="A45:F45"/>
    <mergeCell ref="A32:I32"/>
    <mergeCell ref="A33:J33"/>
    <mergeCell ref="A35:F35"/>
    <mergeCell ref="A36:I36"/>
    <mergeCell ref="A37:J37"/>
    <mergeCell ref="A39:F39"/>
    <mergeCell ref="A40:F40"/>
    <mergeCell ref="A41:F41"/>
    <mergeCell ref="A42:F42"/>
    <mergeCell ref="A43:F43"/>
    <mergeCell ref="A44:F44"/>
    <mergeCell ref="A31:E31"/>
    <mergeCell ref="A18:F18"/>
    <mergeCell ref="A19:F19"/>
    <mergeCell ref="A20:F20"/>
    <mergeCell ref="A21:F21"/>
    <mergeCell ref="A22:I22"/>
    <mergeCell ref="A23:J23"/>
    <mergeCell ref="A25:E25"/>
    <mergeCell ref="A26:E26"/>
    <mergeCell ref="A27:I27"/>
    <mergeCell ref="A28:J28"/>
    <mergeCell ref="A30:E30"/>
    <mergeCell ref="H1:H2"/>
    <mergeCell ref="I1:I2"/>
    <mergeCell ref="J1:J2"/>
    <mergeCell ref="A15:I15"/>
    <mergeCell ref="A16:J16"/>
    <mergeCell ref="G1:G2"/>
    <mergeCell ref="A17:F17"/>
    <mergeCell ref="A1:A2"/>
    <mergeCell ref="B1:B2"/>
    <mergeCell ref="C1:D1"/>
    <mergeCell ref="E1:E2"/>
    <mergeCell ref="F1:F2"/>
  </mergeCells>
  <pageMargins left="0.51181102362204722" right="0.51181102362204722" top="0.78740157480314965" bottom="0.78740157480314965" header="0" footer="0"/>
  <pageSetup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7CE6-621A-4902-ADF6-7682D8D86BF5}">
  <dimension ref="A1:M70"/>
  <sheetViews>
    <sheetView topLeftCell="A39" zoomScale="85" zoomScaleNormal="85" workbookViewId="0">
      <selection activeCell="K59" sqref="K59"/>
    </sheetView>
  </sheetViews>
  <sheetFormatPr defaultRowHeight="11.65" x14ac:dyDescent="0.35"/>
  <cols>
    <col min="1" max="1" width="53.73046875" style="186" customWidth="1"/>
    <col min="2" max="2" width="5.73046875" style="186" customWidth="1"/>
    <col min="3" max="3" width="7.19921875" style="186" customWidth="1"/>
    <col min="4" max="4" width="7.9296875" style="186" customWidth="1"/>
    <col min="5" max="5" width="9.6640625" style="186" customWidth="1"/>
    <col min="6" max="6" width="10.19921875" style="186" customWidth="1"/>
    <col min="7" max="7" width="5.59765625" style="186" customWidth="1"/>
    <col min="8" max="8" width="9.06640625" style="186" customWidth="1"/>
    <col min="9" max="9" width="5.86328125" style="186" customWidth="1"/>
    <col min="10" max="10" width="9.59765625" style="186" customWidth="1"/>
    <col min="11" max="11" width="30" style="186" customWidth="1"/>
    <col min="12" max="12" width="16" style="186" customWidth="1"/>
    <col min="13" max="13" width="14" style="186" customWidth="1"/>
    <col min="14" max="16384" width="9.06640625" style="186"/>
  </cols>
  <sheetData>
    <row r="1" spans="1:13" ht="14.35" customHeight="1" x14ac:dyDescent="0.35">
      <c r="A1" s="313" t="s">
        <v>441</v>
      </c>
      <c r="B1" s="313" t="s">
        <v>222</v>
      </c>
      <c r="C1" s="317" t="s">
        <v>223</v>
      </c>
      <c r="D1" s="318"/>
      <c r="E1" s="313" t="s">
        <v>224</v>
      </c>
      <c r="F1" s="313" t="s">
        <v>225</v>
      </c>
      <c r="G1" s="313" t="s">
        <v>226</v>
      </c>
      <c r="H1" s="313" t="s">
        <v>227</v>
      </c>
      <c r="I1" s="313" t="s">
        <v>228</v>
      </c>
      <c r="J1" s="313" t="s">
        <v>229</v>
      </c>
      <c r="K1" s="316" t="s">
        <v>440</v>
      </c>
      <c r="L1" s="316"/>
      <c r="M1" s="316"/>
    </row>
    <row r="2" spans="1:13" ht="14.35" customHeight="1" x14ac:dyDescent="0.35">
      <c r="A2" s="314"/>
      <c r="B2" s="314"/>
      <c r="C2" s="185" t="s">
        <v>230</v>
      </c>
      <c r="D2" s="185" t="s">
        <v>231</v>
      </c>
      <c r="E2" s="314"/>
      <c r="F2" s="314"/>
      <c r="G2" s="314"/>
      <c r="H2" s="314"/>
      <c r="I2" s="314"/>
      <c r="J2" s="314"/>
      <c r="K2" s="315" t="s">
        <v>439</v>
      </c>
      <c r="L2" s="315"/>
      <c r="M2" s="315"/>
    </row>
    <row r="3" spans="1:13" ht="14.35" customHeight="1" x14ac:dyDescent="0.35">
      <c r="A3" s="187" t="s">
        <v>235</v>
      </c>
      <c r="B3" s="188">
        <v>1</v>
      </c>
      <c r="C3" s="188" t="s">
        <v>205</v>
      </c>
      <c r="D3" s="189">
        <v>5000</v>
      </c>
      <c r="E3" s="188">
        <v>5</v>
      </c>
      <c r="F3" s="189">
        <f t="shared" ref="F3:F18" si="0">IF(H3="Bolsa",B3*D3,B3*(D3/200)*E3)</f>
        <v>5000</v>
      </c>
      <c r="G3" s="190">
        <v>24</v>
      </c>
      <c r="H3" s="188" t="s">
        <v>236</v>
      </c>
      <c r="I3" s="191">
        <v>0</v>
      </c>
      <c r="J3" s="189">
        <f t="shared" ref="J3:J18" si="1">F3*G3*(1+I3)</f>
        <v>120000</v>
      </c>
      <c r="K3" s="315" t="s">
        <v>438</v>
      </c>
      <c r="L3" s="315"/>
      <c r="M3" s="315"/>
    </row>
    <row r="4" spans="1:13" ht="14.35" customHeight="1" x14ac:dyDescent="0.35">
      <c r="A4" s="187" t="s">
        <v>437</v>
      </c>
      <c r="B4" s="188">
        <v>1</v>
      </c>
      <c r="C4" s="188" t="s">
        <v>109</v>
      </c>
      <c r="D4" s="189">
        <v>19378.990000000002</v>
      </c>
      <c r="E4" s="188">
        <v>50</v>
      </c>
      <c r="F4" s="189">
        <f t="shared" si="0"/>
        <v>4844.7475000000004</v>
      </c>
      <c r="G4" s="190">
        <v>24</v>
      </c>
      <c r="H4" s="188" t="s">
        <v>238</v>
      </c>
      <c r="I4" s="191">
        <v>0.84040000000000004</v>
      </c>
      <c r="J4" s="189">
        <f t="shared" si="1"/>
        <v>213990.55917600001</v>
      </c>
      <c r="K4" s="315" t="s">
        <v>436</v>
      </c>
      <c r="L4" s="315"/>
      <c r="M4" s="315"/>
    </row>
    <row r="5" spans="1:13" ht="14.35" customHeight="1" x14ac:dyDescent="0.35">
      <c r="A5" s="187" t="s">
        <v>435</v>
      </c>
      <c r="B5" s="188">
        <v>1</v>
      </c>
      <c r="C5" s="188" t="s">
        <v>121</v>
      </c>
      <c r="D5" s="189">
        <v>16952.509999999998</v>
      </c>
      <c r="E5" s="188">
        <v>60</v>
      </c>
      <c r="F5" s="189">
        <f t="shared" si="0"/>
        <v>5085.7529999999997</v>
      </c>
      <c r="G5" s="190">
        <v>24</v>
      </c>
      <c r="H5" s="188" t="s">
        <v>238</v>
      </c>
      <c r="I5" s="191">
        <v>0.84040000000000004</v>
      </c>
      <c r="J5" s="189">
        <f t="shared" si="1"/>
        <v>224635.67570879997</v>
      </c>
      <c r="K5" s="315" t="s">
        <v>434</v>
      </c>
      <c r="L5" s="315"/>
      <c r="M5" s="315"/>
    </row>
    <row r="6" spans="1:13" ht="14.35" customHeight="1" x14ac:dyDescent="0.35">
      <c r="A6" s="187" t="s">
        <v>433</v>
      </c>
      <c r="B6" s="188">
        <v>1</v>
      </c>
      <c r="C6" s="188" t="s">
        <v>121</v>
      </c>
      <c r="D6" s="189">
        <v>16952.509999999998</v>
      </c>
      <c r="E6" s="188">
        <v>60</v>
      </c>
      <c r="F6" s="189">
        <f t="shared" si="0"/>
        <v>5085.7529999999997</v>
      </c>
      <c r="G6" s="190">
        <v>24</v>
      </c>
      <c r="H6" s="188" t="s">
        <v>238</v>
      </c>
      <c r="I6" s="191">
        <v>0.84040000000000004</v>
      </c>
      <c r="J6" s="189">
        <f t="shared" si="1"/>
        <v>224635.67570879997</v>
      </c>
      <c r="K6" s="315" t="s">
        <v>432</v>
      </c>
      <c r="L6" s="315"/>
      <c r="M6" s="315"/>
    </row>
    <row r="7" spans="1:13" ht="14.35" customHeight="1" x14ac:dyDescent="0.35">
      <c r="A7" s="187" t="s">
        <v>431</v>
      </c>
      <c r="B7" s="188">
        <v>1</v>
      </c>
      <c r="C7" s="188" t="s">
        <v>119</v>
      </c>
      <c r="D7" s="189">
        <v>14698.04</v>
      </c>
      <c r="E7" s="188">
        <v>60</v>
      </c>
      <c r="F7" s="189">
        <f t="shared" si="0"/>
        <v>4409.4120000000003</v>
      </c>
      <c r="G7" s="190">
        <v>24</v>
      </c>
      <c r="H7" s="188" t="s">
        <v>238</v>
      </c>
      <c r="I7" s="191">
        <v>0.84040000000000004</v>
      </c>
      <c r="J7" s="189">
        <f t="shared" si="1"/>
        <v>194761.96427520001</v>
      </c>
    </row>
    <row r="8" spans="1:13" ht="14.35" customHeight="1" x14ac:dyDescent="0.35">
      <c r="A8" s="187" t="s">
        <v>430</v>
      </c>
      <c r="B8" s="188">
        <v>1</v>
      </c>
      <c r="C8" s="188" t="s">
        <v>119</v>
      </c>
      <c r="D8" s="189">
        <v>14698.04</v>
      </c>
      <c r="E8" s="188">
        <v>50</v>
      </c>
      <c r="F8" s="189">
        <f t="shared" si="0"/>
        <v>3674.51</v>
      </c>
      <c r="G8" s="190">
        <v>24</v>
      </c>
      <c r="H8" s="188" t="s">
        <v>238</v>
      </c>
      <c r="I8" s="191">
        <v>0.84040000000000004</v>
      </c>
      <c r="J8" s="189">
        <f t="shared" si="1"/>
        <v>162301.63689600001</v>
      </c>
      <c r="K8" s="192" t="s">
        <v>429</v>
      </c>
      <c r="L8" s="192" t="s">
        <v>231</v>
      </c>
      <c r="M8" s="192" t="s">
        <v>428</v>
      </c>
    </row>
    <row r="9" spans="1:13" ht="14.35" customHeight="1" x14ac:dyDescent="0.35">
      <c r="A9" s="187" t="s">
        <v>427</v>
      </c>
      <c r="B9" s="188">
        <v>1</v>
      </c>
      <c r="C9" s="188" t="s">
        <v>107</v>
      </c>
      <c r="D9" s="189">
        <v>23254.78</v>
      </c>
      <c r="E9" s="188">
        <v>40</v>
      </c>
      <c r="F9" s="189">
        <f t="shared" si="0"/>
        <v>4650.9560000000001</v>
      </c>
      <c r="G9" s="190">
        <v>24</v>
      </c>
      <c r="H9" s="188" t="s">
        <v>252</v>
      </c>
      <c r="I9" s="191">
        <v>0.2</v>
      </c>
      <c r="J9" s="189">
        <f t="shared" si="1"/>
        <v>133947.53279999999</v>
      </c>
      <c r="K9" s="193" t="s">
        <v>317</v>
      </c>
      <c r="L9" s="194">
        <f>J19</f>
        <v>2086949.5731311999</v>
      </c>
      <c r="M9" s="195">
        <f t="shared" ref="M9:M16" si="2">L9/$L$17</f>
        <v>0.23904359827943994</v>
      </c>
    </row>
    <row r="10" spans="1:13" ht="14.35" customHeight="1" x14ac:dyDescent="0.35">
      <c r="A10" s="187" t="s">
        <v>426</v>
      </c>
      <c r="B10" s="188">
        <v>1</v>
      </c>
      <c r="C10" s="188" t="s">
        <v>25</v>
      </c>
      <c r="D10" s="189">
        <v>10184.530000000001</v>
      </c>
      <c r="E10" s="188">
        <v>50</v>
      </c>
      <c r="F10" s="189">
        <f t="shared" si="0"/>
        <v>2546.1325000000002</v>
      </c>
      <c r="G10" s="190">
        <v>24</v>
      </c>
      <c r="H10" s="188" t="s">
        <v>238</v>
      </c>
      <c r="I10" s="191">
        <v>0.84040000000000004</v>
      </c>
      <c r="J10" s="189">
        <f t="shared" si="1"/>
        <v>112461.65407200002</v>
      </c>
      <c r="K10" s="193" t="s">
        <v>255</v>
      </c>
      <c r="L10" s="194">
        <f>J25</f>
        <v>1120000</v>
      </c>
      <c r="M10" s="195">
        <f t="shared" si="2"/>
        <v>0.12828715821402431</v>
      </c>
    </row>
    <row r="11" spans="1:13" ht="14.35" customHeight="1" x14ac:dyDescent="0.35">
      <c r="A11" s="187" t="s">
        <v>425</v>
      </c>
      <c r="B11" s="188">
        <v>1</v>
      </c>
      <c r="C11" s="188" t="s">
        <v>23</v>
      </c>
      <c r="D11" s="189">
        <v>5705.05</v>
      </c>
      <c r="E11" s="188">
        <v>80</v>
      </c>
      <c r="F11" s="189">
        <f t="shared" si="0"/>
        <v>2282.02</v>
      </c>
      <c r="G11" s="190">
        <v>24</v>
      </c>
      <c r="H11" s="188" t="s">
        <v>238</v>
      </c>
      <c r="I11" s="191">
        <v>0.84040000000000004</v>
      </c>
      <c r="J11" s="189">
        <f t="shared" si="1"/>
        <v>100795.910592</v>
      </c>
      <c r="K11" s="193" t="s">
        <v>424</v>
      </c>
      <c r="L11" s="194">
        <f>J30</f>
        <v>258000</v>
      </c>
      <c r="M11" s="195">
        <f t="shared" si="2"/>
        <v>2.9551863231444885E-2</v>
      </c>
    </row>
    <row r="12" spans="1:13" ht="14.35" customHeight="1" x14ac:dyDescent="0.35">
      <c r="A12" s="187" t="s">
        <v>423</v>
      </c>
      <c r="B12" s="188">
        <v>1</v>
      </c>
      <c r="C12" s="188" t="s">
        <v>25</v>
      </c>
      <c r="D12" s="189">
        <v>10184.530000000001</v>
      </c>
      <c r="E12" s="188">
        <v>50</v>
      </c>
      <c r="F12" s="189">
        <f t="shared" si="0"/>
        <v>2546.1325000000002</v>
      </c>
      <c r="G12" s="190">
        <v>24</v>
      </c>
      <c r="H12" s="188" t="s">
        <v>238</v>
      </c>
      <c r="I12" s="191">
        <v>0.84040000000000004</v>
      </c>
      <c r="J12" s="189">
        <f t="shared" si="1"/>
        <v>112461.65407200002</v>
      </c>
      <c r="K12" s="193" t="s">
        <v>318</v>
      </c>
      <c r="L12" s="194">
        <f>J35</f>
        <v>128267.51999999999</v>
      </c>
      <c r="M12" s="195">
        <f t="shared" si="2"/>
        <v>1.469203181425047E-2</v>
      </c>
    </row>
    <row r="13" spans="1:13" ht="14.35" customHeight="1" x14ac:dyDescent="0.35">
      <c r="A13" s="187" t="s">
        <v>422</v>
      </c>
      <c r="B13" s="188">
        <v>1</v>
      </c>
      <c r="C13" s="188" t="s">
        <v>197</v>
      </c>
      <c r="D13" s="189">
        <v>3323.33</v>
      </c>
      <c r="E13" s="188">
        <v>120</v>
      </c>
      <c r="F13" s="189">
        <f t="shared" si="0"/>
        <v>1993.998</v>
      </c>
      <c r="G13" s="190">
        <v>24</v>
      </c>
      <c r="H13" s="188" t="s">
        <v>238</v>
      </c>
      <c r="I13" s="191">
        <v>0.84040000000000004</v>
      </c>
      <c r="J13" s="189">
        <f t="shared" si="1"/>
        <v>88074.094060800009</v>
      </c>
      <c r="K13" s="193" t="s">
        <v>281</v>
      </c>
      <c r="L13" s="194">
        <f>J39</f>
        <v>72000</v>
      </c>
      <c r="M13" s="195">
        <f t="shared" si="2"/>
        <v>8.2470315994729905E-3</v>
      </c>
    </row>
    <row r="14" spans="1:13" ht="14.35" customHeight="1" x14ac:dyDescent="0.35">
      <c r="A14" s="187" t="s">
        <v>198</v>
      </c>
      <c r="B14" s="188">
        <v>1</v>
      </c>
      <c r="C14" s="188" t="s">
        <v>199</v>
      </c>
      <c r="D14" s="189">
        <v>4601.83</v>
      </c>
      <c r="E14" s="188">
        <v>40</v>
      </c>
      <c r="F14" s="189">
        <f t="shared" si="0"/>
        <v>920.36599999999999</v>
      </c>
      <c r="G14" s="190">
        <v>24</v>
      </c>
      <c r="H14" s="188" t="s">
        <v>238</v>
      </c>
      <c r="I14" s="191">
        <v>0.84040000000000004</v>
      </c>
      <c r="J14" s="189">
        <f t="shared" si="1"/>
        <v>40652.198073599997</v>
      </c>
      <c r="K14" s="193" t="s">
        <v>284</v>
      </c>
      <c r="L14" s="194">
        <f>J54</f>
        <v>3760000</v>
      </c>
      <c r="M14" s="195">
        <f t="shared" si="2"/>
        <v>0.43067831686136732</v>
      </c>
    </row>
    <row r="15" spans="1:13" ht="14.35" customHeight="1" x14ac:dyDescent="0.35">
      <c r="A15" s="196" t="s">
        <v>12</v>
      </c>
      <c r="B15" s="197">
        <v>1</v>
      </c>
      <c r="C15" s="197" t="s">
        <v>13</v>
      </c>
      <c r="D15" s="198">
        <v>8655.0400000000009</v>
      </c>
      <c r="E15" s="197">
        <v>50</v>
      </c>
      <c r="F15" s="198">
        <f t="shared" si="0"/>
        <v>2163.7600000000002</v>
      </c>
      <c r="G15" s="199">
        <v>24</v>
      </c>
      <c r="H15" s="197" t="s">
        <v>238</v>
      </c>
      <c r="I15" s="200">
        <v>0.84040000000000004</v>
      </c>
      <c r="J15" s="198">
        <f t="shared" si="1"/>
        <v>95572.413696000018</v>
      </c>
      <c r="K15" s="193" t="s">
        <v>319</v>
      </c>
      <c r="L15" s="194">
        <f>J64</f>
        <v>694067.91170362174</v>
      </c>
      <c r="M15" s="195">
        <f t="shared" si="2"/>
        <v>7.9499999999999973E-2</v>
      </c>
    </row>
    <row r="16" spans="1:13" ht="14.35" customHeight="1" thickBot="1" x14ac:dyDescent="0.4">
      <c r="A16" s="196" t="s">
        <v>421</v>
      </c>
      <c r="B16" s="197">
        <v>1</v>
      </c>
      <c r="C16" s="197" t="s">
        <v>107</v>
      </c>
      <c r="D16" s="198">
        <v>23254.78</v>
      </c>
      <c r="E16" s="197">
        <v>25</v>
      </c>
      <c r="F16" s="198">
        <f t="shared" si="0"/>
        <v>2906.8474999999999</v>
      </c>
      <c r="G16" s="199">
        <v>12</v>
      </c>
      <c r="H16" s="197" t="s">
        <v>252</v>
      </c>
      <c r="I16" s="200">
        <v>0.2</v>
      </c>
      <c r="J16" s="198">
        <f t="shared" si="1"/>
        <v>41858.603999999999</v>
      </c>
      <c r="K16" s="193" t="s">
        <v>320</v>
      </c>
      <c r="L16" s="194">
        <f>J68</f>
        <v>611128.97885853611</v>
      </c>
      <c r="M16" s="195">
        <f t="shared" si="2"/>
        <v>7.0000000000000118E-2</v>
      </c>
    </row>
    <row r="17" spans="1:13" ht="14.35" customHeight="1" thickBot="1" x14ac:dyDescent="0.4">
      <c r="A17" s="196" t="s">
        <v>420</v>
      </c>
      <c r="B17" s="197">
        <v>2</v>
      </c>
      <c r="C17" s="197" t="s">
        <v>217</v>
      </c>
      <c r="D17" s="198">
        <v>2200</v>
      </c>
      <c r="E17" s="197">
        <v>100</v>
      </c>
      <c r="F17" s="198">
        <f t="shared" si="0"/>
        <v>4400</v>
      </c>
      <c r="G17" s="199">
        <v>24</v>
      </c>
      <c r="H17" s="197" t="s">
        <v>236</v>
      </c>
      <c r="I17" s="200">
        <v>0</v>
      </c>
      <c r="J17" s="198">
        <f t="shared" si="1"/>
        <v>105600</v>
      </c>
      <c r="K17" s="201" t="s">
        <v>419</v>
      </c>
      <c r="L17" s="202">
        <f>SUM(L9:L16)</f>
        <v>8730413.9836933576</v>
      </c>
      <c r="M17" s="203">
        <f>SUM(M9:M16)</f>
        <v>1</v>
      </c>
    </row>
    <row r="18" spans="1:13" ht="14.35" customHeight="1" x14ac:dyDescent="0.35">
      <c r="A18" s="196" t="s">
        <v>418</v>
      </c>
      <c r="B18" s="197">
        <v>1</v>
      </c>
      <c r="C18" s="197" t="s">
        <v>213</v>
      </c>
      <c r="D18" s="198">
        <v>3200</v>
      </c>
      <c r="E18" s="197">
        <v>100</v>
      </c>
      <c r="F18" s="198">
        <f t="shared" si="0"/>
        <v>3200</v>
      </c>
      <c r="G18" s="199">
        <v>36</v>
      </c>
      <c r="H18" s="197" t="s">
        <v>236</v>
      </c>
      <c r="I18" s="200">
        <v>0</v>
      </c>
      <c r="J18" s="198">
        <f t="shared" si="1"/>
        <v>115200</v>
      </c>
    </row>
    <row r="19" spans="1:13" ht="14.35" customHeight="1" x14ac:dyDescent="0.35">
      <c r="A19" s="204" t="s">
        <v>254</v>
      </c>
      <c r="B19" s="205"/>
      <c r="C19" s="205"/>
      <c r="D19" s="205"/>
      <c r="E19" s="205"/>
      <c r="F19" s="205"/>
      <c r="G19" s="205"/>
      <c r="H19" s="205"/>
      <c r="I19" s="205"/>
      <c r="J19" s="206">
        <f>SUM(J3:J18)</f>
        <v>2086949.5731311999</v>
      </c>
    </row>
    <row r="20" spans="1:13" ht="9" customHeight="1" x14ac:dyDescent="0.35">
      <c r="A20" s="207"/>
      <c r="B20" s="207"/>
      <c r="C20" s="207"/>
      <c r="D20" s="207"/>
      <c r="E20" s="207"/>
      <c r="F20" s="207"/>
      <c r="G20" s="207"/>
      <c r="H20" s="207"/>
      <c r="I20" s="207"/>
      <c r="J20" s="208"/>
    </row>
    <row r="21" spans="1:13" ht="14.35" customHeight="1" x14ac:dyDescent="0.35">
      <c r="A21" s="204" t="s">
        <v>255</v>
      </c>
      <c r="B21" s="205"/>
      <c r="C21" s="205"/>
      <c r="D21" s="205"/>
      <c r="E21" s="205"/>
      <c r="F21" s="205"/>
      <c r="G21" s="205" t="s">
        <v>222</v>
      </c>
      <c r="H21" s="205" t="s">
        <v>256</v>
      </c>
      <c r="I21" s="205" t="s">
        <v>228</v>
      </c>
      <c r="J21" s="206" t="s">
        <v>229</v>
      </c>
    </row>
    <row r="22" spans="1:13" ht="14.35" customHeight="1" x14ac:dyDescent="0.35">
      <c r="A22" s="193" t="s">
        <v>417</v>
      </c>
      <c r="B22" s="207"/>
      <c r="C22" s="207"/>
      <c r="D22" s="207"/>
      <c r="E22" s="207"/>
      <c r="F22" s="207"/>
      <c r="G22" s="212">
        <v>1</v>
      </c>
      <c r="H22" s="194">
        <v>220000</v>
      </c>
      <c r="I22" s="195">
        <v>0</v>
      </c>
      <c r="J22" s="194">
        <f>G22*H22*(1+I22)</f>
        <v>220000</v>
      </c>
    </row>
    <row r="23" spans="1:13" ht="14.35" customHeight="1" x14ac:dyDescent="0.35">
      <c r="A23" s="193" t="s">
        <v>416</v>
      </c>
      <c r="B23" s="207"/>
      <c r="C23" s="207"/>
      <c r="D23" s="207"/>
      <c r="E23" s="207"/>
      <c r="F23" s="207"/>
      <c r="G23" s="212">
        <v>1</v>
      </c>
      <c r="H23" s="194">
        <v>450000</v>
      </c>
      <c r="I23" s="195">
        <v>0</v>
      </c>
      <c r="J23" s="194">
        <f>G23*H23*(1+I23)</f>
        <v>450000</v>
      </c>
    </row>
    <row r="24" spans="1:13" ht="14.35" customHeight="1" x14ac:dyDescent="0.35">
      <c r="A24" s="193" t="s">
        <v>415</v>
      </c>
      <c r="B24" s="207"/>
      <c r="C24" s="207"/>
      <c r="D24" s="207"/>
      <c r="E24" s="207"/>
      <c r="F24" s="207"/>
      <c r="G24" s="212">
        <v>1</v>
      </c>
      <c r="H24" s="194">
        <v>450000</v>
      </c>
      <c r="I24" s="195">
        <v>0</v>
      </c>
      <c r="J24" s="194">
        <f>G24*H24*(1+I24)</f>
        <v>450000</v>
      </c>
    </row>
    <row r="25" spans="1:13" ht="14.35" customHeight="1" x14ac:dyDescent="0.35">
      <c r="A25" s="204" t="s">
        <v>254</v>
      </c>
      <c r="B25" s="205"/>
      <c r="C25" s="205"/>
      <c r="D25" s="205"/>
      <c r="E25" s="205"/>
      <c r="F25" s="205"/>
      <c r="G25" s="205"/>
      <c r="H25" s="205"/>
      <c r="I25" s="210"/>
      <c r="J25" s="206">
        <f>SUM(J22:J24)</f>
        <v>1120000</v>
      </c>
    </row>
    <row r="26" spans="1:13" ht="4.9000000000000004" customHeight="1" x14ac:dyDescent="0.35">
      <c r="A26" s="207"/>
      <c r="B26" s="207"/>
      <c r="C26" s="207"/>
      <c r="D26" s="207"/>
      <c r="E26" s="207"/>
      <c r="F26" s="207"/>
      <c r="G26" s="207"/>
      <c r="H26" s="207"/>
      <c r="I26" s="211"/>
      <c r="J26" s="208"/>
    </row>
    <row r="27" spans="1:13" ht="14.35" customHeight="1" x14ac:dyDescent="0.35">
      <c r="A27" s="204" t="s">
        <v>270</v>
      </c>
      <c r="B27" s="205"/>
      <c r="C27" s="205"/>
      <c r="D27" s="205"/>
      <c r="E27" s="205"/>
      <c r="F27" s="205" t="s">
        <v>271</v>
      </c>
      <c r="G27" s="205" t="s">
        <v>226</v>
      </c>
      <c r="H27" s="205" t="s">
        <v>272</v>
      </c>
      <c r="I27" s="210" t="s">
        <v>228</v>
      </c>
      <c r="J27" s="206" t="s">
        <v>229</v>
      </c>
    </row>
    <row r="28" spans="1:13" ht="14.35" customHeight="1" x14ac:dyDescent="0.35">
      <c r="A28" s="193" t="s">
        <v>414</v>
      </c>
      <c r="B28" s="207"/>
      <c r="C28" s="207"/>
      <c r="D28" s="207"/>
      <c r="E28" s="207"/>
      <c r="F28" s="212">
        <v>2</v>
      </c>
      <c r="G28" s="212">
        <v>18</v>
      </c>
      <c r="H28" s="194">
        <v>4500</v>
      </c>
      <c r="I28" s="195">
        <v>0</v>
      </c>
      <c r="J28" s="194">
        <f>F28*G28*H28*(1+I28)</f>
        <v>162000</v>
      </c>
    </row>
    <row r="29" spans="1:13" ht="14.35" customHeight="1" x14ac:dyDescent="0.35">
      <c r="A29" s="193" t="s">
        <v>413</v>
      </c>
      <c r="B29" s="207"/>
      <c r="C29" s="207"/>
      <c r="D29" s="207"/>
      <c r="E29" s="207"/>
      <c r="F29" s="212">
        <v>1</v>
      </c>
      <c r="G29" s="212">
        <v>12</v>
      </c>
      <c r="H29" s="194">
        <v>8000</v>
      </c>
      <c r="I29" s="195">
        <v>0</v>
      </c>
      <c r="J29" s="194">
        <f>F29*G29*H29*(1+I29)</f>
        <v>96000</v>
      </c>
    </row>
    <row r="30" spans="1:13" ht="14.35" customHeight="1" x14ac:dyDescent="0.35">
      <c r="A30" s="204" t="s">
        <v>254</v>
      </c>
      <c r="B30" s="205"/>
      <c r="C30" s="205"/>
      <c r="D30" s="205"/>
      <c r="E30" s="205"/>
      <c r="F30" s="205"/>
      <c r="G30" s="205"/>
      <c r="H30" s="205"/>
      <c r="I30" s="210"/>
      <c r="J30" s="206">
        <f>SUM(J28:J29)</f>
        <v>258000</v>
      </c>
    </row>
    <row r="31" spans="1:13" ht="4.9000000000000004" customHeight="1" x14ac:dyDescent="0.35">
      <c r="A31" s="207"/>
      <c r="B31" s="207"/>
      <c r="C31" s="207"/>
      <c r="D31" s="207"/>
      <c r="E31" s="207"/>
      <c r="F31" s="207"/>
      <c r="G31" s="207"/>
      <c r="H31" s="207"/>
      <c r="I31" s="211"/>
      <c r="J31" s="208"/>
    </row>
    <row r="32" spans="1:13" ht="14.35" customHeight="1" x14ac:dyDescent="0.35">
      <c r="A32" s="204" t="s">
        <v>318</v>
      </c>
      <c r="B32" s="205"/>
      <c r="C32" s="205"/>
      <c r="D32" s="205"/>
      <c r="E32" s="205"/>
      <c r="F32" s="205" t="s">
        <v>271</v>
      </c>
      <c r="G32" s="205" t="s">
        <v>226</v>
      </c>
      <c r="H32" s="205" t="s">
        <v>272</v>
      </c>
      <c r="I32" s="210" t="s">
        <v>228</v>
      </c>
      <c r="J32" s="206" t="s">
        <v>229</v>
      </c>
    </row>
    <row r="33" spans="1:10" ht="14.35" customHeight="1" x14ac:dyDescent="0.35">
      <c r="A33" s="193" t="s">
        <v>412</v>
      </c>
      <c r="B33" s="207"/>
      <c r="C33" s="207"/>
      <c r="D33" s="207"/>
      <c r="E33" s="207"/>
      <c r="F33" s="212">
        <v>6</v>
      </c>
      <c r="G33" s="212">
        <v>20</v>
      </c>
      <c r="H33" s="194">
        <v>668.06</v>
      </c>
      <c r="I33" s="195">
        <v>0</v>
      </c>
      <c r="J33" s="194">
        <f>F33*G33*H33*(1+I33)</f>
        <v>80167.199999999997</v>
      </c>
    </row>
    <row r="34" spans="1:10" ht="14.35" customHeight="1" x14ac:dyDescent="0.35">
      <c r="A34" s="193" t="s">
        <v>411</v>
      </c>
      <c r="B34" s="207"/>
      <c r="C34" s="207"/>
      <c r="D34" s="207"/>
      <c r="E34" s="207"/>
      <c r="F34" s="212">
        <v>4</v>
      </c>
      <c r="G34" s="212">
        <v>18</v>
      </c>
      <c r="H34" s="194">
        <v>668.06</v>
      </c>
      <c r="I34" s="195">
        <v>0</v>
      </c>
      <c r="J34" s="194">
        <f>F34*G34*H34*(1+I34)</f>
        <v>48100.319999999992</v>
      </c>
    </row>
    <row r="35" spans="1:10" ht="14.35" customHeight="1" x14ac:dyDescent="0.35">
      <c r="A35" s="204" t="s">
        <v>254</v>
      </c>
      <c r="B35" s="205"/>
      <c r="C35" s="205"/>
      <c r="D35" s="205"/>
      <c r="E35" s="205"/>
      <c r="F35" s="205"/>
      <c r="G35" s="205"/>
      <c r="H35" s="205"/>
      <c r="I35" s="210"/>
      <c r="J35" s="206">
        <f>SUM(J33:J34)</f>
        <v>128267.51999999999</v>
      </c>
    </row>
    <row r="36" spans="1:10" ht="4.9000000000000004" customHeight="1" x14ac:dyDescent="0.35">
      <c r="A36" s="207"/>
      <c r="B36" s="207"/>
      <c r="C36" s="207"/>
      <c r="D36" s="207"/>
      <c r="E36" s="207"/>
      <c r="F36" s="207"/>
      <c r="G36" s="207"/>
      <c r="H36" s="207"/>
      <c r="I36" s="211"/>
      <c r="J36" s="208"/>
    </row>
    <row r="37" spans="1:10" ht="14.35" customHeight="1" x14ac:dyDescent="0.35">
      <c r="A37" s="204" t="s">
        <v>281</v>
      </c>
      <c r="B37" s="205"/>
      <c r="C37" s="205"/>
      <c r="D37" s="205"/>
      <c r="E37" s="205"/>
      <c r="F37" s="205"/>
      <c r="G37" s="205" t="s">
        <v>226</v>
      </c>
      <c r="H37" s="205" t="s">
        <v>282</v>
      </c>
      <c r="I37" s="210" t="s">
        <v>228</v>
      </c>
      <c r="J37" s="206" t="s">
        <v>229</v>
      </c>
    </row>
    <row r="38" spans="1:10" ht="14.35" customHeight="1" x14ac:dyDescent="0.35">
      <c r="A38" s="193" t="s">
        <v>410</v>
      </c>
      <c r="B38" s="207"/>
      <c r="C38" s="207"/>
      <c r="D38" s="207"/>
      <c r="E38" s="207"/>
      <c r="F38" s="207"/>
      <c r="G38" s="209">
        <v>48</v>
      </c>
      <c r="H38" s="194">
        <v>1500</v>
      </c>
      <c r="I38" s="195">
        <v>0</v>
      </c>
      <c r="J38" s="194">
        <f>G38*H38*(1+I38)</f>
        <v>72000</v>
      </c>
    </row>
    <row r="39" spans="1:10" ht="14.35" customHeight="1" x14ac:dyDescent="0.35">
      <c r="A39" s="204" t="s">
        <v>254</v>
      </c>
      <c r="B39" s="205"/>
      <c r="C39" s="205"/>
      <c r="D39" s="205"/>
      <c r="E39" s="205"/>
      <c r="F39" s="205"/>
      <c r="G39" s="205"/>
      <c r="H39" s="205"/>
      <c r="I39" s="210"/>
      <c r="J39" s="206">
        <f>SUM(J38:J38)</f>
        <v>72000</v>
      </c>
    </row>
    <row r="40" spans="1:10" ht="4.9000000000000004" customHeight="1" x14ac:dyDescent="0.35">
      <c r="A40" s="207"/>
      <c r="B40" s="207"/>
      <c r="C40" s="207"/>
      <c r="D40" s="207"/>
      <c r="E40" s="207"/>
      <c r="F40" s="207"/>
      <c r="G40" s="207"/>
      <c r="H40" s="207"/>
      <c r="I40" s="211"/>
      <c r="J40" s="208"/>
    </row>
    <row r="41" spans="1:10" ht="14.35" customHeight="1" x14ac:dyDescent="0.35">
      <c r="A41" s="204" t="s">
        <v>284</v>
      </c>
      <c r="B41" s="205"/>
      <c r="C41" s="205"/>
      <c r="D41" s="205"/>
      <c r="E41" s="205"/>
      <c r="F41" s="205"/>
      <c r="G41" s="205" t="s">
        <v>222</v>
      </c>
      <c r="H41" s="205" t="s">
        <v>256</v>
      </c>
      <c r="I41" s="210" t="s">
        <v>228</v>
      </c>
      <c r="J41" s="206" t="s">
        <v>229</v>
      </c>
    </row>
    <row r="42" spans="1:10" ht="14.35" customHeight="1" x14ac:dyDescent="0.35">
      <c r="A42" s="193" t="s">
        <v>409</v>
      </c>
      <c r="B42" s="207"/>
      <c r="C42" s="207"/>
      <c r="D42" s="207"/>
      <c r="E42" s="207"/>
      <c r="F42" s="207"/>
      <c r="G42" s="212">
        <v>1</v>
      </c>
      <c r="H42" s="194">
        <v>1200000</v>
      </c>
      <c r="I42" s="195">
        <v>0</v>
      </c>
      <c r="J42" s="194">
        <f t="shared" ref="J42:J53" si="3">G42*H42*(1+I42)</f>
        <v>1200000</v>
      </c>
    </row>
    <row r="43" spans="1:10" ht="14.35" customHeight="1" x14ac:dyDescent="0.35">
      <c r="A43" s="193" t="s">
        <v>408</v>
      </c>
      <c r="B43" s="207"/>
      <c r="C43" s="207"/>
      <c r="D43" s="207"/>
      <c r="E43" s="207"/>
      <c r="F43" s="207"/>
      <c r="G43" s="212">
        <v>4</v>
      </c>
      <c r="H43" s="194">
        <v>140000</v>
      </c>
      <c r="I43" s="195">
        <v>0</v>
      </c>
      <c r="J43" s="194">
        <f t="shared" si="3"/>
        <v>560000</v>
      </c>
    </row>
    <row r="44" spans="1:10" ht="14.35" customHeight="1" x14ac:dyDescent="0.35">
      <c r="A44" s="193" t="s">
        <v>407</v>
      </c>
      <c r="B44" s="207"/>
      <c r="C44" s="207"/>
      <c r="D44" s="207"/>
      <c r="E44" s="207"/>
      <c r="F44" s="207"/>
      <c r="G44" s="212">
        <v>12</v>
      </c>
      <c r="H44" s="194">
        <v>15000</v>
      </c>
      <c r="I44" s="195">
        <v>0</v>
      </c>
      <c r="J44" s="194">
        <f t="shared" si="3"/>
        <v>180000</v>
      </c>
    </row>
    <row r="45" spans="1:10" ht="14.35" customHeight="1" x14ac:dyDescent="0.35">
      <c r="A45" s="193" t="s">
        <v>406</v>
      </c>
      <c r="B45" s="207"/>
      <c r="C45" s="207"/>
      <c r="D45" s="207"/>
      <c r="E45" s="207"/>
      <c r="F45" s="207"/>
      <c r="G45" s="212">
        <v>4</v>
      </c>
      <c r="H45" s="194">
        <v>90000</v>
      </c>
      <c r="I45" s="195">
        <v>0</v>
      </c>
      <c r="J45" s="194">
        <f t="shared" si="3"/>
        <v>360000</v>
      </c>
    </row>
    <row r="46" spans="1:10" ht="14.35" customHeight="1" x14ac:dyDescent="0.35">
      <c r="A46" s="193" t="s">
        <v>405</v>
      </c>
      <c r="B46" s="207"/>
      <c r="C46" s="207"/>
      <c r="D46" s="207"/>
      <c r="E46" s="207"/>
      <c r="F46" s="207"/>
      <c r="G46" s="212">
        <v>8</v>
      </c>
      <c r="H46" s="194">
        <v>20000</v>
      </c>
      <c r="I46" s="195">
        <v>0</v>
      </c>
      <c r="J46" s="194">
        <f t="shared" si="3"/>
        <v>160000</v>
      </c>
    </row>
    <row r="47" spans="1:10" ht="14.35" customHeight="1" x14ac:dyDescent="0.35">
      <c r="A47" s="193" t="s">
        <v>404</v>
      </c>
      <c r="B47" s="207"/>
      <c r="C47" s="207"/>
      <c r="D47" s="207"/>
      <c r="E47" s="207"/>
      <c r="F47" s="207"/>
      <c r="G47" s="212">
        <v>4</v>
      </c>
      <c r="H47" s="194">
        <v>50000</v>
      </c>
      <c r="I47" s="195">
        <v>0</v>
      </c>
      <c r="J47" s="194">
        <f t="shared" si="3"/>
        <v>200000</v>
      </c>
    </row>
    <row r="48" spans="1:10" ht="14.35" customHeight="1" x14ac:dyDescent="0.35">
      <c r="A48" s="193" t="s">
        <v>403</v>
      </c>
      <c r="B48" s="207"/>
      <c r="C48" s="207"/>
      <c r="D48" s="207"/>
      <c r="E48" s="207"/>
      <c r="F48" s="207"/>
      <c r="G48" s="212">
        <v>4</v>
      </c>
      <c r="H48" s="194">
        <v>60000</v>
      </c>
      <c r="I48" s="195">
        <v>0</v>
      </c>
      <c r="J48" s="194">
        <f t="shared" si="3"/>
        <v>240000</v>
      </c>
    </row>
    <row r="49" spans="1:10" ht="14.35" customHeight="1" x14ac:dyDescent="0.35">
      <c r="A49" s="193" t="s">
        <v>402</v>
      </c>
      <c r="B49" s="207"/>
      <c r="C49" s="207"/>
      <c r="D49" s="207"/>
      <c r="E49" s="207"/>
      <c r="F49" s="207"/>
      <c r="G49" s="212">
        <v>1</v>
      </c>
      <c r="H49" s="194">
        <v>250000</v>
      </c>
      <c r="I49" s="195">
        <v>0</v>
      </c>
      <c r="J49" s="194">
        <f t="shared" si="3"/>
        <v>250000</v>
      </c>
    </row>
    <row r="50" spans="1:10" ht="14.35" customHeight="1" x14ac:dyDescent="0.35">
      <c r="A50" s="193" t="s">
        <v>401</v>
      </c>
      <c r="B50" s="207"/>
      <c r="C50" s="207"/>
      <c r="D50" s="207"/>
      <c r="E50" s="207"/>
      <c r="F50" s="207"/>
      <c r="G50" s="212">
        <v>1</v>
      </c>
      <c r="H50" s="194">
        <v>200000</v>
      </c>
      <c r="I50" s="195">
        <v>0</v>
      </c>
      <c r="J50" s="194">
        <f t="shared" si="3"/>
        <v>200000</v>
      </c>
    </row>
    <row r="51" spans="1:10" ht="14.35" customHeight="1" x14ac:dyDescent="0.35">
      <c r="A51" s="193" t="s">
        <v>400</v>
      </c>
      <c r="B51" s="207"/>
      <c r="C51" s="207"/>
      <c r="D51" s="207"/>
      <c r="E51" s="207"/>
      <c r="F51" s="207"/>
      <c r="G51" s="212">
        <v>3</v>
      </c>
      <c r="H51" s="194">
        <v>10000</v>
      </c>
      <c r="I51" s="195">
        <v>0</v>
      </c>
      <c r="J51" s="194">
        <f t="shared" si="3"/>
        <v>30000</v>
      </c>
    </row>
    <row r="52" spans="1:10" ht="14.35" customHeight="1" x14ac:dyDescent="0.35">
      <c r="A52" s="193" t="s">
        <v>399</v>
      </c>
      <c r="B52" s="207"/>
      <c r="C52" s="207"/>
      <c r="D52" s="207"/>
      <c r="E52" s="207"/>
      <c r="F52" s="207"/>
      <c r="G52" s="212">
        <v>1</v>
      </c>
      <c r="H52" s="194">
        <v>180000</v>
      </c>
      <c r="I52" s="195">
        <v>0</v>
      </c>
      <c r="J52" s="194">
        <f t="shared" si="3"/>
        <v>180000</v>
      </c>
    </row>
    <row r="53" spans="1:10" ht="14.35" customHeight="1" x14ac:dyDescent="0.35">
      <c r="A53" s="193" t="s">
        <v>398</v>
      </c>
      <c r="B53" s="207"/>
      <c r="C53" s="207"/>
      <c r="D53" s="207"/>
      <c r="E53" s="207"/>
      <c r="F53" s="207"/>
      <c r="G53" s="212">
        <v>1</v>
      </c>
      <c r="H53" s="194">
        <v>200000</v>
      </c>
      <c r="I53" s="195">
        <v>0</v>
      </c>
      <c r="J53" s="194">
        <f t="shared" si="3"/>
        <v>200000</v>
      </c>
    </row>
    <row r="54" spans="1:10" ht="14.35" customHeight="1" x14ac:dyDescent="0.35">
      <c r="A54" s="204" t="s">
        <v>254</v>
      </c>
      <c r="B54" s="205"/>
      <c r="C54" s="205"/>
      <c r="D54" s="205"/>
      <c r="E54" s="205"/>
      <c r="F54" s="205"/>
      <c r="G54" s="205"/>
      <c r="H54" s="205"/>
      <c r="I54" s="210"/>
      <c r="J54" s="206">
        <f>SUM(J42:J53)</f>
        <v>3760000</v>
      </c>
    </row>
    <row r="55" spans="1:10" ht="4.9000000000000004" customHeight="1" x14ac:dyDescent="0.35">
      <c r="A55" s="207"/>
      <c r="B55" s="207"/>
      <c r="C55" s="207"/>
      <c r="D55" s="207"/>
      <c r="E55" s="207"/>
      <c r="F55" s="207"/>
      <c r="G55" s="207"/>
      <c r="H55" s="207"/>
      <c r="I55" s="211"/>
      <c r="J55" s="208"/>
    </row>
    <row r="56" spans="1:10" ht="23.25" x14ac:dyDescent="0.35">
      <c r="A56" s="204" t="s">
        <v>397</v>
      </c>
      <c r="B56" s="205"/>
      <c r="C56" s="205"/>
      <c r="D56" s="205"/>
      <c r="E56" s="205"/>
      <c r="F56" s="205"/>
      <c r="G56" s="205"/>
      <c r="H56" s="205"/>
      <c r="I56" s="213" t="s">
        <v>299</v>
      </c>
      <c r="J56" s="206" t="s">
        <v>229</v>
      </c>
    </row>
    <row r="57" spans="1:10" ht="14.35" customHeight="1" x14ac:dyDescent="0.35">
      <c r="A57" s="193" t="s">
        <v>300</v>
      </c>
      <c r="B57" s="207"/>
      <c r="C57" s="207"/>
      <c r="D57" s="207"/>
      <c r="E57" s="207"/>
      <c r="F57" s="207"/>
      <c r="G57" s="207"/>
      <c r="H57" s="207"/>
      <c r="I57" s="195">
        <v>7.1999999999999998E-3</v>
      </c>
      <c r="J57" s="194">
        <f t="shared" ref="J57:J63" si="4">(($J$19+$J$25+$J$30+$J$35+$J$39+$J$54)/(1-SUM($I$57:$I$63)-$I$67))*I57</f>
        <v>62858.980682592162</v>
      </c>
    </row>
    <row r="58" spans="1:10" ht="14.35" customHeight="1" x14ac:dyDescent="0.35">
      <c r="A58" s="193" t="s">
        <v>301</v>
      </c>
      <c r="B58" s="207"/>
      <c r="C58" s="207"/>
      <c r="D58" s="207"/>
      <c r="E58" s="207"/>
      <c r="F58" s="207"/>
      <c r="G58" s="207"/>
      <c r="H58" s="207"/>
      <c r="I58" s="195">
        <v>3.5000000000000001E-3</v>
      </c>
      <c r="J58" s="194">
        <f t="shared" si="4"/>
        <v>30556.448942926745</v>
      </c>
    </row>
    <row r="59" spans="1:10" ht="14.35" customHeight="1" x14ac:dyDescent="0.35">
      <c r="A59" s="193" t="s">
        <v>302</v>
      </c>
      <c r="B59" s="207"/>
      <c r="C59" s="207"/>
      <c r="D59" s="207"/>
      <c r="E59" s="207"/>
      <c r="F59" s="207"/>
      <c r="G59" s="207"/>
      <c r="H59" s="207"/>
      <c r="I59" s="195">
        <v>1.23E-2</v>
      </c>
      <c r="J59" s="194">
        <f t="shared" si="4"/>
        <v>107384.09199942827</v>
      </c>
    </row>
    <row r="60" spans="1:10" ht="14.35" customHeight="1" x14ac:dyDescent="0.35">
      <c r="A60" s="193" t="s">
        <v>303</v>
      </c>
      <c r="B60" s="207"/>
      <c r="C60" s="207"/>
      <c r="D60" s="207"/>
      <c r="E60" s="207"/>
      <c r="F60" s="207"/>
      <c r="G60" s="207"/>
      <c r="H60" s="207"/>
      <c r="I60" s="195">
        <v>1.8800000000000001E-2</v>
      </c>
      <c r="J60" s="194">
        <f t="shared" si="4"/>
        <v>164131.7828934351</v>
      </c>
    </row>
    <row r="61" spans="1:10" ht="14.35" customHeight="1" x14ac:dyDescent="0.35">
      <c r="A61" s="193" t="s">
        <v>304</v>
      </c>
      <c r="B61" s="207"/>
      <c r="C61" s="207"/>
      <c r="D61" s="207"/>
      <c r="E61" s="207"/>
      <c r="F61" s="207"/>
      <c r="G61" s="207"/>
      <c r="H61" s="207"/>
      <c r="I61" s="195">
        <v>1.46E-2</v>
      </c>
      <c r="J61" s="194">
        <f t="shared" si="4"/>
        <v>127464.044161923</v>
      </c>
    </row>
    <row r="62" spans="1:10" ht="14.35" customHeight="1" x14ac:dyDescent="0.35">
      <c r="A62" s="193" t="s">
        <v>305</v>
      </c>
      <c r="B62" s="207"/>
      <c r="C62" s="207"/>
      <c r="D62" s="207"/>
      <c r="E62" s="207"/>
      <c r="F62" s="207"/>
      <c r="G62" s="207"/>
      <c r="H62" s="207"/>
      <c r="I62" s="195">
        <v>1.3299999999999999E-2</v>
      </c>
      <c r="J62" s="194">
        <f t="shared" si="4"/>
        <v>116114.50598312162</v>
      </c>
    </row>
    <row r="63" spans="1:10" ht="14.35" customHeight="1" x14ac:dyDescent="0.35">
      <c r="A63" s="193" t="s">
        <v>306</v>
      </c>
      <c r="B63" s="207"/>
      <c r="C63" s="207"/>
      <c r="D63" s="207"/>
      <c r="E63" s="207"/>
      <c r="F63" s="207"/>
      <c r="G63" s="207"/>
      <c r="H63" s="207"/>
      <c r="I63" s="195">
        <v>9.7999999999999997E-3</v>
      </c>
      <c r="J63" s="194">
        <f t="shared" si="4"/>
        <v>85558.057040194879</v>
      </c>
    </row>
    <row r="64" spans="1:10" ht="14.35" customHeight="1" x14ac:dyDescent="0.35">
      <c r="A64" s="204" t="s">
        <v>254</v>
      </c>
      <c r="B64" s="205"/>
      <c r="C64" s="205"/>
      <c r="D64" s="205"/>
      <c r="E64" s="205"/>
      <c r="F64" s="205"/>
      <c r="G64" s="205"/>
      <c r="H64" s="205"/>
      <c r="I64" s="210"/>
      <c r="J64" s="206">
        <f>SUM(J57:J63)</f>
        <v>694067.91170362174</v>
      </c>
    </row>
    <row r="65" spans="1:10" ht="4.9000000000000004" customHeight="1" x14ac:dyDescent="0.35">
      <c r="A65" s="207"/>
      <c r="B65" s="207"/>
      <c r="C65" s="207"/>
      <c r="D65" s="207"/>
      <c r="E65" s="207"/>
      <c r="F65" s="207"/>
      <c r="G65" s="207"/>
      <c r="H65" s="207"/>
      <c r="I65" s="211"/>
      <c r="J65" s="208"/>
    </row>
    <row r="66" spans="1:10" ht="14.35" customHeight="1" x14ac:dyDescent="0.35">
      <c r="A66" s="204" t="s">
        <v>307</v>
      </c>
      <c r="B66" s="205"/>
      <c r="C66" s="205"/>
      <c r="D66" s="205"/>
      <c r="E66" s="205"/>
      <c r="F66" s="205"/>
      <c r="G66" s="205"/>
      <c r="H66" s="205"/>
      <c r="I66" s="210" t="s">
        <v>299</v>
      </c>
      <c r="J66" s="206" t="s">
        <v>229</v>
      </c>
    </row>
    <row r="67" spans="1:10" ht="14.35" customHeight="1" x14ac:dyDescent="0.35">
      <c r="A67" s="207" t="s">
        <v>308</v>
      </c>
      <c r="B67" s="207"/>
      <c r="C67" s="207"/>
      <c r="D67" s="207"/>
      <c r="E67" s="207"/>
      <c r="F67" s="207"/>
      <c r="G67" s="207"/>
      <c r="H67" s="207"/>
      <c r="I67" s="211">
        <v>7.0000000000000007E-2</v>
      </c>
      <c r="J67" s="208">
        <f>(J19+J25+J30+J35+J39+J54+J64)/(1-I67)-(J19+J25+J30+J35+J39+J54+J64)</f>
        <v>611128.97885853611</v>
      </c>
    </row>
    <row r="68" spans="1:10" ht="14.35" customHeight="1" x14ac:dyDescent="0.35">
      <c r="A68" s="204" t="s">
        <v>254</v>
      </c>
      <c r="B68" s="205"/>
      <c r="C68" s="205"/>
      <c r="D68" s="205"/>
      <c r="E68" s="205"/>
      <c r="F68" s="205"/>
      <c r="G68" s="205"/>
      <c r="H68" s="205"/>
      <c r="I68" s="205"/>
      <c r="J68" s="206">
        <f>SUM(J67:J67)</f>
        <v>611128.97885853611</v>
      </c>
    </row>
    <row r="69" spans="1:10" ht="4.9000000000000004" customHeight="1" x14ac:dyDescent="0.35">
      <c r="A69" s="207"/>
      <c r="B69" s="207"/>
      <c r="C69" s="207"/>
      <c r="D69" s="207"/>
      <c r="E69" s="207"/>
      <c r="F69" s="207"/>
      <c r="G69" s="207"/>
      <c r="H69" s="207"/>
      <c r="I69" s="211"/>
      <c r="J69" s="208"/>
    </row>
    <row r="70" spans="1:10" ht="14.35" customHeight="1" x14ac:dyDescent="0.35">
      <c r="A70" s="204" t="s">
        <v>396</v>
      </c>
      <c r="B70" s="205"/>
      <c r="C70" s="205"/>
      <c r="D70" s="205"/>
      <c r="E70" s="205"/>
      <c r="F70" s="205"/>
      <c r="G70" s="205"/>
      <c r="H70" s="205"/>
      <c r="I70" s="205"/>
      <c r="J70" s="206">
        <f>SUM(J19,J25,J30,J35,J39,J54,J64,J68)</f>
        <v>8730413.9836933576</v>
      </c>
    </row>
  </sheetData>
  <mergeCells count="15">
    <mergeCell ref="I1:I2"/>
    <mergeCell ref="J1:J2"/>
    <mergeCell ref="K5:M5"/>
    <mergeCell ref="K6:M6"/>
    <mergeCell ref="A1:A2"/>
    <mergeCell ref="K1:M1"/>
    <mergeCell ref="K2:M2"/>
    <mergeCell ref="K3:M3"/>
    <mergeCell ref="K4:M4"/>
    <mergeCell ref="B1:B2"/>
    <mergeCell ref="C1:D1"/>
    <mergeCell ref="E1:E2"/>
    <mergeCell ref="F1:F2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8FF7-F224-4A82-9FF9-54F749E1B323}">
  <dimension ref="A1:G23"/>
  <sheetViews>
    <sheetView view="pageBreakPreview" topLeftCell="A3" zoomScaleNormal="100" zoomScaleSheetLayoutView="100" workbookViewId="0">
      <selection activeCell="D20" sqref="D20:E20"/>
    </sheetView>
  </sheetViews>
  <sheetFormatPr defaultColWidth="8.53125" defaultRowHeight="12" x14ac:dyDescent="0.45"/>
  <cols>
    <col min="1" max="1" width="5" style="164" customWidth="1"/>
    <col min="2" max="2" width="42.796875" style="164" customWidth="1"/>
    <col min="3" max="3" width="10.59765625" style="164" customWidth="1"/>
    <col min="4" max="4" width="11.265625" style="164" customWidth="1"/>
    <col min="5" max="5" width="11.3984375" style="164" customWidth="1"/>
    <col min="6" max="6" width="11.53125" style="164" customWidth="1"/>
    <col min="7" max="7" width="7.3984375" style="165" customWidth="1"/>
    <col min="8" max="8" width="46.73046875" style="164" customWidth="1"/>
    <col min="9" max="9" width="11.9296875" style="164" customWidth="1"/>
    <col min="10" max="10" width="12.33203125" style="164" customWidth="1"/>
    <col min="11" max="16384" width="8.53125" style="164"/>
  </cols>
  <sheetData>
    <row r="1" spans="1:7" ht="18" customHeight="1" x14ac:dyDescent="0.45">
      <c r="A1" s="163" t="s">
        <v>315</v>
      </c>
      <c r="B1" s="163" t="s">
        <v>316</v>
      </c>
      <c r="C1" s="163" t="s">
        <v>442</v>
      </c>
      <c r="D1" s="163" t="s">
        <v>443</v>
      </c>
      <c r="E1" s="163" t="s">
        <v>444</v>
      </c>
      <c r="F1" s="163" t="s">
        <v>445</v>
      </c>
      <c r="G1" s="164"/>
    </row>
    <row r="2" spans="1:7" ht="18" customHeight="1" x14ac:dyDescent="0.45">
      <c r="A2" s="222">
        <v>1</v>
      </c>
      <c r="B2" s="223" t="s">
        <v>317</v>
      </c>
      <c r="C2" s="224">
        <f>'Orçamento-Ação1'!J20</f>
        <v>4970099.5673194164</v>
      </c>
      <c r="D2" s="224">
        <f>'Orçamento-Ação2'!J15</f>
        <v>3897871.9649700006</v>
      </c>
      <c r="E2" s="225">
        <f>'Orçamento Ação 3'!J19</f>
        <v>2086949.5731311999</v>
      </c>
      <c r="F2" s="224">
        <f>SUM(C2:E2)</f>
        <v>10954921.105420617</v>
      </c>
      <c r="G2" s="226">
        <f>F2/$F$10</f>
        <v>0.34682443581760258</v>
      </c>
    </row>
    <row r="3" spans="1:7" ht="18" customHeight="1" x14ac:dyDescent="0.45">
      <c r="A3" s="222">
        <f>A2+1</f>
        <v>2</v>
      </c>
      <c r="B3" s="223" t="s">
        <v>255</v>
      </c>
      <c r="C3" s="224">
        <f>'Orçamento-Ação1'!J32</f>
        <v>3689570</v>
      </c>
      <c r="D3" s="224">
        <f>'Orçamento-Ação2'!J22</f>
        <v>125750</v>
      </c>
      <c r="E3" s="225">
        <f>'Orçamento Ação 3'!J25</f>
        <v>1120000</v>
      </c>
      <c r="F3" s="224">
        <f t="shared" ref="F3:F9" si="0">SUM(C3:E3)</f>
        <v>4935320</v>
      </c>
      <c r="G3" s="226">
        <f t="shared" ref="G3:G10" si="1">F3/$F$10</f>
        <v>0.15624846204801668</v>
      </c>
    </row>
    <row r="4" spans="1:7" ht="18" customHeight="1" x14ac:dyDescent="0.45">
      <c r="A4" s="222">
        <f t="shared" ref="A4:A9" si="2">A3+1</f>
        <v>3</v>
      </c>
      <c r="B4" s="223" t="s">
        <v>270</v>
      </c>
      <c r="C4" s="224">
        <f>'Orçamento-Ação1'!J37</f>
        <v>234000</v>
      </c>
      <c r="D4" s="224">
        <f>'Orçamento-Ação2'!J27</f>
        <v>0</v>
      </c>
      <c r="E4" s="225">
        <f>'Orçamento Ação 3'!J30</f>
        <v>258000</v>
      </c>
      <c r="F4" s="224">
        <f t="shared" si="0"/>
        <v>492000</v>
      </c>
      <c r="G4" s="226">
        <f t="shared" si="1"/>
        <v>1.5576344254804999E-2</v>
      </c>
    </row>
    <row r="5" spans="1:7" ht="18" customHeight="1" x14ac:dyDescent="0.45">
      <c r="A5" s="222">
        <f t="shared" si="2"/>
        <v>4</v>
      </c>
      <c r="B5" s="223" t="s">
        <v>318</v>
      </c>
      <c r="C5" s="224">
        <f>'Orçamento-Ação1'!J42</f>
        <v>620167.19999999995</v>
      </c>
      <c r="D5" s="224">
        <f>'Orçamento-Ação2'!J32</f>
        <v>620167.19999999995</v>
      </c>
      <c r="E5" s="225">
        <f>'Orçamento Ação 3'!J35</f>
        <v>128267.51999999999</v>
      </c>
      <c r="F5" s="224">
        <f t="shared" si="0"/>
        <v>1368601.92</v>
      </c>
      <c r="G5" s="226">
        <f t="shared" si="1"/>
        <v>4.3328891572575384E-2</v>
      </c>
    </row>
    <row r="6" spans="1:7" ht="18" customHeight="1" x14ac:dyDescent="0.45">
      <c r="A6" s="222">
        <f t="shared" si="2"/>
        <v>5</v>
      </c>
      <c r="B6" s="223" t="s">
        <v>281</v>
      </c>
      <c r="C6" s="224">
        <f>'Orçamento-Ação1'!J46</f>
        <v>75000</v>
      </c>
      <c r="D6" s="224">
        <f>'Orçamento-Ação2'!J36</f>
        <v>150000</v>
      </c>
      <c r="E6" s="225">
        <f>'Orçamento Ação 3'!J39</f>
        <v>72000</v>
      </c>
      <c r="F6" s="224">
        <f t="shared" si="0"/>
        <v>297000</v>
      </c>
      <c r="G6" s="226">
        <f t="shared" si="1"/>
        <v>9.4027931782054569E-3</v>
      </c>
    </row>
    <row r="7" spans="1:7" ht="18" customHeight="1" x14ac:dyDescent="0.45">
      <c r="A7" s="222">
        <f t="shared" si="2"/>
        <v>6</v>
      </c>
      <c r="B7" s="223" t="s">
        <v>284</v>
      </c>
      <c r="C7" s="224">
        <f>'Orçamento-Ação1'!J61</f>
        <v>2528177.6100000003</v>
      </c>
      <c r="D7" s="224">
        <f>'Orçamento-Ação2'!J51</f>
        <v>2528177.6100000003</v>
      </c>
      <c r="E7" s="225">
        <f>'Orçamento Ação 3'!J54</f>
        <v>3760000</v>
      </c>
      <c r="F7" s="224">
        <f t="shared" si="0"/>
        <v>8816355.2200000007</v>
      </c>
      <c r="G7" s="226">
        <f t="shared" si="1"/>
        <v>0.27911907312879486</v>
      </c>
    </row>
    <row r="8" spans="1:7" ht="18" customHeight="1" x14ac:dyDescent="0.45">
      <c r="A8" s="222">
        <f t="shared" si="2"/>
        <v>7</v>
      </c>
      <c r="B8" s="223" t="s">
        <v>319</v>
      </c>
      <c r="C8" s="224">
        <f>'Orçamento-Ação1'!J71</f>
        <v>1132630.9735413208</v>
      </c>
      <c r="D8" s="224">
        <f>'Orçamento-Ação2'!J61</f>
        <v>684416.64739578485</v>
      </c>
      <c r="E8" s="225">
        <f>'Orçamento Ação 3'!J64</f>
        <v>694067.91170362174</v>
      </c>
      <c r="F8" s="224">
        <f t="shared" si="0"/>
        <v>2511115.5326407272</v>
      </c>
      <c r="G8" s="226">
        <f t="shared" si="1"/>
        <v>7.9499999999999973E-2</v>
      </c>
    </row>
    <row r="9" spans="1:7" ht="18" customHeight="1" x14ac:dyDescent="0.45">
      <c r="A9" s="222">
        <f t="shared" si="2"/>
        <v>8</v>
      </c>
      <c r="B9" s="223" t="s">
        <v>320</v>
      </c>
      <c r="C9" s="224">
        <f>'Orçamento-Ação1'!J75</f>
        <v>997285.13393575512</v>
      </c>
      <c r="D9" s="224">
        <f>'Orçamento-Ação2'!J65</f>
        <v>602631.01028559729</v>
      </c>
      <c r="E9" s="225">
        <f>'Orçamento Ação 3'!J68</f>
        <v>611128.97885853611</v>
      </c>
      <c r="F9" s="224">
        <f t="shared" si="0"/>
        <v>2211045.1230798885</v>
      </c>
      <c r="G9" s="226">
        <f t="shared" si="1"/>
        <v>7.0000000000000062E-2</v>
      </c>
    </row>
    <row r="10" spans="1:7" ht="18" customHeight="1" x14ac:dyDescent="0.45">
      <c r="A10" s="319" t="s">
        <v>321</v>
      </c>
      <c r="B10" s="320"/>
      <c r="C10" s="227">
        <f>SUM(C2:C9)</f>
        <v>14246930.484796491</v>
      </c>
      <c r="D10" s="227">
        <f>SUM(D2:D9)</f>
        <v>8609014.4326513819</v>
      </c>
      <c r="E10" s="227">
        <f>SUM(E2:E9)</f>
        <v>8730413.9836933576</v>
      </c>
      <c r="F10" s="227">
        <f>SUM(F2:F9)</f>
        <v>31586358.901141234</v>
      </c>
      <c r="G10" s="226">
        <f t="shared" si="1"/>
        <v>1</v>
      </c>
    </row>
    <row r="11" spans="1:7" ht="10.9" customHeight="1" x14ac:dyDescent="0.45">
      <c r="A11" s="228"/>
      <c r="B11" s="229"/>
      <c r="C11" s="230"/>
      <c r="D11" s="231"/>
      <c r="E11" s="231"/>
      <c r="F11" s="231"/>
      <c r="G11" s="232"/>
    </row>
    <row r="12" spans="1:7" ht="18" customHeight="1" x14ac:dyDescent="0.45">
      <c r="A12" s="233" t="s">
        <v>322</v>
      </c>
      <c r="B12" s="233" t="s">
        <v>323</v>
      </c>
      <c r="C12" s="233" t="s">
        <v>229</v>
      </c>
      <c r="D12" s="234"/>
      <c r="E12" s="234"/>
      <c r="F12" s="234"/>
      <c r="G12" s="234"/>
    </row>
    <row r="13" spans="1:7" ht="18" customHeight="1" x14ac:dyDescent="0.45">
      <c r="A13" s="235">
        <v>1</v>
      </c>
      <c r="B13" s="236" t="s">
        <v>324</v>
      </c>
      <c r="C13" s="224">
        <f>($F$10*D13)</f>
        <v>4737953.8351711845</v>
      </c>
      <c r="D13" s="237">
        <v>0.15</v>
      </c>
      <c r="E13" s="238"/>
      <c r="F13" s="234"/>
      <c r="G13" s="234"/>
    </row>
    <row r="14" spans="1:7" ht="18" customHeight="1" x14ac:dyDescent="0.45">
      <c r="A14" s="222">
        <f>A13+1</f>
        <v>2</v>
      </c>
      <c r="B14" s="236" t="s">
        <v>325</v>
      </c>
      <c r="C14" s="224">
        <f t="shared" ref="C14:C21" si="3">($F$10*D14)</f>
        <v>4737953.8351711845</v>
      </c>
      <c r="D14" s="237">
        <v>0.15</v>
      </c>
      <c r="E14" s="238"/>
      <c r="F14" s="234"/>
      <c r="G14" s="234"/>
    </row>
    <row r="15" spans="1:7" ht="18" customHeight="1" x14ac:dyDescent="0.45">
      <c r="A15" s="222">
        <f t="shared" ref="A15:A21" si="4">A14+1</f>
        <v>3</v>
      </c>
      <c r="B15" s="236" t="s">
        <v>326</v>
      </c>
      <c r="C15" s="224">
        <f t="shared" si="3"/>
        <v>3158635.8901141235</v>
      </c>
      <c r="D15" s="237">
        <v>0.1</v>
      </c>
      <c r="E15" s="238"/>
      <c r="F15" s="234"/>
      <c r="G15" s="234"/>
    </row>
    <row r="16" spans="1:7" ht="18" customHeight="1" x14ac:dyDescent="0.45">
      <c r="A16" s="222">
        <f t="shared" si="4"/>
        <v>4</v>
      </c>
      <c r="B16" s="236" t="s">
        <v>327</v>
      </c>
      <c r="C16" s="224">
        <f t="shared" si="3"/>
        <v>3158635.8901141235</v>
      </c>
      <c r="D16" s="237">
        <v>0.1</v>
      </c>
      <c r="E16" s="238"/>
      <c r="F16" s="234"/>
      <c r="G16" s="234"/>
    </row>
    <row r="17" spans="1:7" ht="18" customHeight="1" x14ac:dyDescent="0.45">
      <c r="A17" s="222">
        <f t="shared" si="4"/>
        <v>5</v>
      </c>
      <c r="B17" s="236" t="s">
        <v>328</v>
      </c>
      <c r="C17" s="224">
        <f t="shared" si="3"/>
        <v>3158635.8901141235</v>
      </c>
      <c r="D17" s="237">
        <v>0.1</v>
      </c>
      <c r="E17" s="238"/>
      <c r="F17" s="234"/>
      <c r="G17" s="234"/>
    </row>
    <row r="18" spans="1:7" ht="18" customHeight="1" x14ac:dyDescent="0.45">
      <c r="A18" s="222">
        <f t="shared" si="4"/>
        <v>6</v>
      </c>
      <c r="B18" s="236" t="s">
        <v>329</v>
      </c>
      <c r="C18" s="224">
        <f t="shared" si="3"/>
        <v>3158635.8901141235</v>
      </c>
      <c r="D18" s="237">
        <v>0.1</v>
      </c>
      <c r="E18" s="238"/>
      <c r="F18" s="234"/>
      <c r="G18" s="234"/>
    </row>
    <row r="19" spans="1:7" ht="18" customHeight="1" x14ac:dyDescent="0.45">
      <c r="A19" s="222">
        <f t="shared" si="4"/>
        <v>7</v>
      </c>
      <c r="B19" s="236" t="s">
        <v>330</v>
      </c>
      <c r="C19" s="224">
        <f t="shared" si="3"/>
        <v>3158635.8901141235</v>
      </c>
      <c r="D19" s="237">
        <v>0.1</v>
      </c>
      <c r="E19" s="238"/>
      <c r="F19" s="234"/>
      <c r="G19" s="234"/>
    </row>
    <row r="20" spans="1:7" ht="18" customHeight="1" x14ac:dyDescent="0.45">
      <c r="A20" s="222">
        <f t="shared" si="4"/>
        <v>8</v>
      </c>
      <c r="B20" s="236" t="s">
        <v>331</v>
      </c>
      <c r="C20" s="224">
        <f t="shared" si="3"/>
        <v>3158635.8901141235</v>
      </c>
      <c r="D20" s="237">
        <v>0.1</v>
      </c>
      <c r="E20" s="238"/>
      <c r="F20" s="234"/>
      <c r="G20" s="234"/>
    </row>
    <row r="21" spans="1:7" ht="18" customHeight="1" x14ac:dyDescent="0.45">
      <c r="A21" s="222">
        <f t="shared" si="4"/>
        <v>9</v>
      </c>
      <c r="B21" s="236" t="s">
        <v>332</v>
      </c>
      <c r="C21" s="224">
        <f t="shared" si="3"/>
        <v>3158635.8901141235</v>
      </c>
      <c r="D21" s="237">
        <v>0.1</v>
      </c>
      <c r="E21" s="238"/>
      <c r="F21" s="234"/>
      <c r="G21" s="234"/>
    </row>
    <row r="22" spans="1:7" ht="18" customHeight="1" x14ac:dyDescent="0.45">
      <c r="A22" s="319" t="s">
        <v>333</v>
      </c>
      <c r="B22" s="321"/>
      <c r="C22" s="227">
        <f>SUM(C13:C21)</f>
        <v>31586358.901141237</v>
      </c>
      <c r="D22" s="237">
        <f>SUM(D13:D21)</f>
        <v>0.99999999999999989</v>
      </c>
      <c r="E22" s="234"/>
      <c r="F22" s="234"/>
      <c r="G22" s="234"/>
    </row>
    <row r="23" spans="1:7" ht="18" customHeight="1" x14ac:dyDescent="0.45"/>
  </sheetData>
  <mergeCells count="2">
    <mergeCell ref="A10:B10"/>
    <mergeCell ref="A22:B22"/>
  </mergeCells>
  <pageMargins left="0.11811023622047245" right="0.11811023622047245" top="0.78740157480314965" bottom="0.78740157480314965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EBC6-265B-40F9-A3B7-FFB2C4E5B873}">
  <sheetPr>
    <pageSetUpPr fitToPage="1"/>
  </sheetPr>
  <dimension ref="A1:BL83"/>
  <sheetViews>
    <sheetView tabSelected="1" topLeftCell="B1" zoomScale="70" zoomScaleNormal="70" workbookViewId="0">
      <selection activeCell="BC1" sqref="BC1:BJ1"/>
    </sheetView>
  </sheetViews>
  <sheetFormatPr defaultColWidth="13.3984375" defaultRowHeight="13.5" x14ac:dyDescent="0.35"/>
  <cols>
    <col min="1" max="1" width="4.86328125" style="49" bestFit="1" customWidth="1"/>
    <col min="2" max="2" width="105.265625" style="49" customWidth="1"/>
    <col min="3" max="62" width="2.86328125" style="49" customWidth="1"/>
    <col min="63" max="16384" width="13.3984375" style="49"/>
  </cols>
  <sheetData>
    <row r="1" spans="1:63" ht="14.25" customHeight="1" x14ac:dyDescent="0.35">
      <c r="A1" s="246" t="s">
        <v>334</v>
      </c>
      <c r="B1" s="247"/>
      <c r="C1" s="254">
        <v>2026</v>
      </c>
      <c r="D1" s="255"/>
      <c r="E1" s="255"/>
      <c r="F1" s="255"/>
      <c r="G1" s="255">
        <v>2027</v>
      </c>
      <c r="H1" s="255"/>
      <c r="I1" s="255"/>
      <c r="J1" s="256"/>
      <c r="K1" s="254"/>
      <c r="L1" s="255"/>
      <c r="M1" s="255"/>
      <c r="N1" s="255"/>
      <c r="O1" s="255"/>
      <c r="P1" s="255"/>
      <c r="Q1" s="255"/>
      <c r="R1" s="255"/>
      <c r="S1" s="255">
        <v>2028</v>
      </c>
      <c r="T1" s="255"/>
      <c r="U1" s="255"/>
      <c r="V1" s="256"/>
      <c r="W1" s="254"/>
      <c r="X1" s="255"/>
      <c r="Y1" s="255"/>
      <c r="Z1" s="255"/>
      <c r="AA1" s="255"/>
      <c r="AB1" s="255"/>
      <c r="AC1" s="255"/>
      <c r="AD1" s="255"/>
      <c r="AE1" s="255">
        <v>2029</v>
      </c>
      <c r="AF1" s="255"/>
      <c r="AG1" s="255"/>
      <c r="AH1" s="256"/>
      <c r="AI1" s="254"/>
      <c r="AJ1" s="255"/>
      <c r="AK1" s="255"/>
      <c r="AL1" s="255"/>
      <c r="AM1" s="255"/>
      <c r="AN1" s="255"/>
      <c r="AO1" s="255"/>
      <c r="AP1" s="255"/>
      <c r="AQ1" s="255">
        <v>2030</v>
      </c>
      <c r="AR1" s="255"/>
      <c r="AS1" s="255"/>
      <c r="AT1" s="256"/>
      <c r="AU1" s="254"/>
      <c r="AV1" s="255"/>
      <c r="AW1" s="255"/>
      <c r="AX1" s="255"/>
      <c r="AY1" s="255"/>
      <c r="AZ1" s="255"/>
      <c r="BA1" s="255"/>
      <c r="BB1" s="255"/>
      <c r="BC1" s="255">
        <v>2031</v>
      </c>
      <c r="BD1" s="255"/>
      <c r="BE1" s="255"/>
      <c r="BF1" s="256"/>
      <c r="BG1" s="254"/>
      <c r="BH1" s="255"/>
      <c r="BI1" s="255"/>
      <c r="BJ1" s="256"/>
    </row>
    <row r="2" spans="1:63" ht="34.5" customHeight="1" x14ac:dyDescent="0.35">
      <c r="A2" s="247"/>
      <c r="B2" s="247"/>
      <c r="C2" s="166">
        <v>46280</v>
      </c>
      <c r="D2" s="166">
        <v>46310</v>
      </c>
      <c r="E2" s="166">
        <v>46341</v>
      </c>
      <c r="F2" s="166">
        <v>46371</v>
      </c>
      <c r="G2" s="166">
        <v>46402</v>
      </c>
      <c r="H2" s="166">
        <v>46433</v>
      </c>
      <c r="I2" s="166">
        <v>46461</v>
      </c>
      <c r="J2" s="166">
        <v>46492</v>
      </c>
      <c r="K2" s="166">
        <v>46522</v>
      </c>
      <c r="L2" s="166">
        <v>46553</v>
      </c>
      <c r="M2" s="166">
        <v>46583</v>
      </c>
      <c r="N2" s="166">
        <v>46614</v>
      </c>
      <c r="O2" s="166">
        <v>46645</v>
      </c>
      <c r="P2" s="166">
        <v>46675</v>
      </c>
      <c r="Q2" s="166">
        <v>46706</v>
      </c>
      <c r="R2" s="166">
        <v>46736</v>
      </c>
      <c r="S2" s="166">
        <v>46767</v>
      </c>
      <c r="T2" s="166">
        <v>46798</v>
      </c>
      <c r="U2" s="166">
        <v>46827</v>
      </c>
      <c r="V2" s="166">
        <v>46858</v>
      </c>
      <c r="W2" s="166">
        <v>46888</v>
      </c>
      <c r="X2" s="166">
        <v>46919</v>
      </c>
      <c r="Y2" s="166">
        <v>46949</v>
      </c>
      <c r="Z2" s="166">
        <v>46980</v>
      </c>
      <c r="AA2" s="166">
        <v>47011</v>
      </c>
      <c r="AB2" s="166">
        <v>47041</v>
      </c>
      <c r="AC2" s="166">
        <v>47072</v>
      </c>
      <c r="AD2" s="166">
        <v>47102</v>
      </c>
      <c r="AE2" s="166">
        <v>47133</v>
      </c>
      <c r="AF2" s="166">
        <v>47164</v>
      </c>
      <c r="AG2" s="166">
        <v>47192</v>
      </c>
      <c r="AH2" s="166">
        <v>47223</v>
      </c>
      <c r="AI2" s="166">
        <v>47253</v>
      </c>
      <c r="AJ2" s="166">
        <v>47284</v>
      </c>
      <c r="AK2" s="166">
        <v>47314</v>
      </c>
      <c r="AL2" s="166">
        <v>47345</v>
      </c>
      <c r="AM2" s="166">
        <v>47376</v>
      </c>
      <c r="AN2" s="166">
        <v>47406</v>
      </c>
      <c r="AO2" s="166">
        <v>47437</v>
      </c>
      <c r="AP2" s="166">
        <v>47467</v>
      </c>
      <c r="AQ2" s="166">
        <v>47498</v>
      </c>
      <c r="AR2" s="166">
        <v>47529</v>
      </c>
      <c r="AS2" s="166">
        <v>47557</v>
      </c>
      <c r="AT2" s="166">
        <v>47588</v>
      </c>
      <c r="AU2" s="166">
        <v>47618</v>
      </c>
      <c r="AV2" s="166">
        <v>47649</v>
      </c>
      <c r="AW2" s="166">
        <v>47679</v>
      </c>
      <c r="AX2" s="166">
        <v>47710</v>
      </c>
      <c r="AY2" s="166">
        <v>47741</v>
      </c>
      <c r="AZ2" s="166">
        <v>47771</v>
      </c>
      <c r="BA2" s="166">
        <v>47802</v>
      </c>
      <c r="BB2" s="166">
        <v>47832</v>
      </c>
      <c r="BC2" s="166">
        <v>47863</v>
      </c>
      <c r="BD2" s="166">
        <v>47894</v>
      </c>
      <c r="BE2" s="166">
        <v>47922</v>
      </c>
      <c r="BF2" s="166">
        <v>47953</v>
      </c>
      <c r="BG2" s="166">
        <v>47983</v>
      </c>
      <c r="BH2" s="166">
        <v>48014</v>
      </c>
      <c r="BI2" s="166">
        <v>48044</v>
      </c>
      <c r="BJ2" s="166">
        <v>48075</v>
      </c>
    </row>
    <row r="3" spans="1:63" s="170" customFormat="1" ht="18" x14ac:dyDescent="0.45">
      <c r="A3" s="167">
        <v>1</v>
      </c>
      <c r="B3" s="168" t="s">
        <v>341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70" t="s">
        <v>342</v>
      </c>
    </row>
    <row r="4" spans="1:63" s="170" customFormat="1" ht="17.25" x14ac:dyDescent="0.45">
      <c r="A4" s="251" t="s">
        <v>335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3"/>
      <c r="BK4" s="183"/>
    </row>
    <row r="5" spans="1:63" ht="15" customHeight="1" x14ac:dyDescent="0.35">
      <c r="A5" s="171" t="s">
        <v>336</v>
      </c>
      <c r="B5" s="172" t="s">
        <v>337</v>
      </c>
      <c r="C5" s="173"/>
      <c r="D5" s="173"/>
      <c r="E5" s="173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  <c r="AS5" s="174"/>
      <c r="AT5" s="174"/>
      <c r="AU5" s="174"/>
      <c r="AV5" s="174"/>
      <c r="AW5" s="174"/>
      <c r="AX5" s="174"/>
      <c r="AY5" s="174"/>
      <c r="AZ5" s="174"/>
      <c r="BA5" s="174"/>
      <c r="BB5" s="174"/>
      <c r="BC5" s="174"/>
      <c r="BD5" s="174"/>
      <c r="BE5" s="174"/>
      <c r="BF5" s="174"/>
      <c r="BG5" s="174"/>
      <c r="BH5" s="174"/>
      <c r="BI5" s="174"/>
      <c r="BJ5" s="174"/>
    </row>
    <row r="6" spans="1:63" ht="14.25" x14ac:dyDescent="0.35">
      <c r="A6" s="171" t="s">
        <v>338</v>
      </c>
      <c r="B6" s="172" t="s">
        <v>339</v>
      </c>
      <c r="C6" s="174"/>
      <c r="D6" s="174"/>
      <c r="E6" s="175"/>
      <c r="F6" s="175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4"/>
      <c r="BD6" s="174"/>
      <c r="BE6" s="174"/>
      <c r="BF6" s="174"/>
      <c r="BG6" s="174"/>
      <c r="BH6" s="174"/>
      <c r="BI6" s="174"/>
      <c r="BJ6" s="174"/>
    </row>
    <row r="7" spans="1:63" ht="14.25" x14ac:dyDescent="0.35">
      <c r="A7" s="241" t="s">
        <v>340</v>
      </c>
      <c r="B7" s="242"/>
      <c r="C7" s="176"/>
      <c r="D7" s="176"/>
      <c r="E7" s="176"/>
      <c r="F7" s="177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  <c r="AT7" s="176"/>
      <c r="AU7" s="176"/>
      <c r="AV7" s="176"/>
      <c r="AW7" s="176"/>
      <c r="AX7" s="176"/>
      <c r="AY7" s="176"/>
      <c r="AZ7" s="176"/>
      <c r="BA7" s="176"/>
      <c r="BB7" s="176"/>
      <c r="BC7" s="176"/>
      <c r="BD7" s="176"/>
      <c r="BE7" s="176"/>
      <c r="BF7" s="176"/>
      <c r="BG7" s="176"/>
      <c r="BH7" s="176"/>
      <c r="BI7" s="176"/>
      <c r="BJ7" s="176"/>
    </row>
    <row r="8" spans="1:63" ht="14.25" x14ac:dyDescent="0.35">
      <c r="A8" s="243" t="s">
        <v>458</v>
      </c>
      <c r="B8" s="243"/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  <c r="AD8" s="243"/>
      <c r="AE8" s="243"/>
      <c r="AF8" s="243"/>
      <c r="AG8" s="243"/>
      <c r="AH8" s="243"/>
      <c r="AI8" s="243"/>
      <c r="AJ8" s="243"/>
      <c r="AK8" s="243"/>
      <c r="AL8" s="243"/>
      <c r="AM8" s="243"/>
      <c r="AN8" s="243"/>
      <c r="AO8" s="243"/>
      <c r="AP8" s="243"/>
      <c r="AQ8" s="243"/>
      <c r="AR8" s="243"/>
      <c r="AS8" s="243"/>
      <c r="AT8" s="243"/>
      <c r="AU8" s="243"/>
      <c r="AV8" s="243"/>
      <c r="AW8" s="243"/>
      <c r="AX8" s="243"/>
      <c r="AY8" s="243"/>
      <c r="AZ8" s="243"/>
      <c r="BA8" s="243"/>
      <c r="BB8" s="243"/>
      <c r="BC8" s="243"/>
      <c r="BD8" s="243"/>
      <c r="BE8" s="243"/>
      <c r="BF8" s="243"/>
      <c r="BG8" s="243"/>
      <c r="BH8" s="243"/>
      <c r="BI8" s="243"/>
      <c r="BJ8" s="243"/>
    </row>
    <row r="9" spans="1:63" ht="14.25" x14ac:dyDescent="0.35">
      <c r="A9" s="171" t="s">
        <v>459</v>
      </c>
      <c r="B9" s="178" t="s">
        <v>344</v>
      </c>
      <c r="C9" s="173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174"/>
      <c r="BH9" s="174"/>
      <c r="BI9" s="174"/>
      <c r="BJ9" s="174"/>
    </row>
    <row r="10" spans="1:63" ht="14.25" x14ac:dyDescent="0.35">
      <c r="A10" s="171" t="s">
        <v>460</v>
      </c>
      <c r="B10" s="178" t="s">
        <v>260</v>
      </c>
      <c r="C10" s="174"/>
      <c r="D10" s="173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</row>
    <row r="11" spans="1:63" ht="14.25" x14ac:dyDescent="0.35">
      <c r="A11" s="171" t="s">
        <v>461</v>
      </c>
      <c r="B11" s="178" t="s">
        <v>346</v>
      </c>
      <c r="C11" s="174"/>
      <c r="D11" s="175"/>
      <c r="E11" s="175"/>
      <c r="F11" s="175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4"/>
      <c r="BA11" s="174"/>
      <c r="BB11" s="174"/>
      <c r="BC11" s="174"/>
      <c r="BD11" s="174"/>
      <c r="BE11" s="174"/>
      <c r="BF11" s="174"/>
      <c r="BG11" s="174"/>
      <c r="BH11" s="174"/>
      <c r="BI11" s="174"/>
      <c r="BJ11" s="174"/>
    </row>
    <row r="12" spans="1:63" ht="14.25" x14ac:dyDescent="0.35">
      <c r="A12" s="171" t="s">
        <v>462</v>
      </c>
      <c r="B12" s="178" t="s">
        <v>347</v>
      </c>
      <c r="C12" s="174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4"/>
      <c r="BA12" s="174"/>
      <c r="BB12" s="174"/>
      <c r="BC12" s="174"/>
      <c r="BD12" s="174"/>
      <c r="BE12" s="174"/>
      <c r="BF12" s="174"/>
      <c r="BG12" s="174"/>
      <c r="BH12" s="174"/>
      <c r="BI12" s="174"/>
      <c r="BJ12" s="174"/>
    </row>
    <row r="13" spans="1:63" ht="14.25" x14ac:dyDescent="0.35">
      <c r="A13" s="171" t="s">
        <v>463</v>
      </c>
      <c r="B13" s="178" t="s">
        <v>348</v>
      </c>
      <c r="C13" s="174"/>
      <c r="D13" s="174"/>
      <c r="E13" s="174"/>
      <c r="F13" s="174"/>
      <c r="G13" s="174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3"/>
      <c r="T13" s="173"/>
      <c r="U13" s="173"/>
      <c r="V13" s="173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4"/>
      <c r="BE13" s="174"/>
      <c r="BF13" s="174"/>
      <c r="BG13" s="174"/>
      <c r="BH13" s="174"/>
      <c r="BI13" s="174"/>
      <c r="BJ13" s="174"/>
    </row>
    <row r="14" spans="1:63" ht="14.25" x14ac:dyDescent="0.35">
      <c r="A14" s="171" t="s">
        <v>464</v>
      </c>
      <c r="B14" s="178" t="s">
        <v>349</v>
      </c>
      <c r="C14" s="174"/>
      <c r="D14" s="174"/>
      <c r="E14" s="174"/>
      <c r="F14" s="174"/>
      <c r="G14" s="174"/>
      <c r="H14" s="174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</row>
    <row r="15" spans="1:63" ht="14.25" x14ac:dyDescent="0.35">
      <c r="A15" s="171" t="s">
        <v>465</v>
      </c>
      <c r="B15" s="178" t="s">
        <v>350</v>
      </c>
      <c r="C15" s="174"/>
      <c r="D15" s="174"/>
      <c r="E15" s="174"/>
      <c r="F15" s="174"/>
      <c r="G15" s="174"/>
      <c r="H15" s="174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</row>
    <row r="16" spans="1:63" ht="14.25" x14ac:dyDescent="0.35">
      <c r="A16" s="171" t="s">
        <v>466</v>
      </c>
      <c r="B16" s="178" t="s">
        <v>351</v>
      </c>
      <c r="C16" s="174"/>
      <c r="D16" s="174"/>
      <c r="E16" s="174"/>
      <c r="F16" s="174"/>
      <c r="G16" s="174"/>
      <c r="H16" s="174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4"/>
      <c r="BB16" s="174"/>
      <c r="BC16" s="174"/>
      <c r="BD16" s="174"/>
      <c r="BE16" s="174"/>
      <c r="BF16" s="174"/>
      <c r="BG16" s="174"/>
      <c r="BH16" s="174"/>
      <c r="BI16" s="174"/>
      <c r="BJ16" s="174"/>
    </row>
    <row r="17" spans="1:63" ht="14.25" x14ac:dyDescent="0.35">
      <c r="A17" s="171" t="s">
        <v>467</v>
      </c>
      <c r="B17" s="178" t="s">
        <v>352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</row>
    <row r="18" spans="1:63" ht="14.25" x14ac:dyDescent="0.35">
      <c r="A18" s="171" t="s">
        <v>468</v>
      </c>
      <c r="B18" s="178" t="s">
        <v>353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</row>
    <row r="19" spans="1:63" ht="14.75" customHeight="1" x14ac:dyDescent="0.35">
      <c r="A19" s="171" t="s">
        <v>469</v>
      </c>
      <c r="B19" s="178" t="s">
        <v>354</v>
      </c>
      <c r="C19" s="174"/>
      <c r="D19" s="174"/>
      <c r="E19" s="174"/>
      <c r="F19" s="174"/>
      <c r="G19" s="174"/>
      <c r="H19" s="174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</row>
    <row r="20" spans="1:63" ht="14.75" customHeight="1" x14ac:dyDescent="0.35">
      <c r="A20" s="171" t="s">
        <v>470</v>
      </c>
      <c r="B20" s="178" t="s">
        <v>355</v>
      </c>
      <c r="C20" s="174"/>
      <c r="D20" s="174"/>
      <c r="E20" s="174"/>
      <c r="F20" s="174"/>
      <c r="G20" s="174"/>
      <c r="H20" s="174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</row>
    <row r="21" spans="1:63" s="179" customFormat="1" ht="15" customHeight="1" x14ac:dyDescent="0.35">
      <c r="A21" s="244" t="s">
        <v>471</v>
      </c>
      <c r="B21" s="245"/>
      <c r="C21" s="176"/>
      <c r="D21" s="176"/>
      <c r="E21" s="177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</row>
    <row r="22" spans="1:63" s="179" customFormat="1" ht="15" customHeight="1" x14ac:dyDescent="0.35">
      <c r="A22" s="244" t="s">
        <v>472</v>
      </c>
      <c r="B22" s="245"/>
      <c r="C22" s="176"/>
      <c r="D22" s="176"/>
      <c r="E22" s="176"/>
      <c r="F22" s="177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</row>
    <row r="23" spans="1:63" s="179" customFormat="1" ht="15" customHeight="1" x14ac:dyDescent="0.35">
      <c r="A23" s="244" t="s">
        <v>473</v>
      </c>
      <c r="B23" s="245"/>
      <c r="C23" s="176"/>
      <c r="D23" s="176"/>
      <c r="E23" s="176"/>
      <c r="F23" s="176"/>
      <c r="G23" s="177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</row>
    <row r="24" spans="1:63" s="179" customFormat="1" ht="15" customHeight="1" x14ac:dyDescent="0.35">
      <c r="A24" s="244" t="s">
        <v>474</v>
      </c>
      <c r="B24" s="245"/>
      <c r="C24" s="176"/>
      <c r="D24" s="176"/>
      <c r="E24" s="176"/>
      <c r="F24" s="176"/>
      <c r="G24" s="176"/>
      <c r="H24" s="176"/>
      <c r="I24" s="176"/>
      <c r="J24" s="177"/>
      <c r="K24" s="176"/>
      <c r="L24" s="176"/>
      <c r="M24" s="177"/>
      <c r="N24" s="176"/>
      <c r="O24" s="176"/>
      <c r="P24" s="177"/>
      <c r="Q24" s="176"/>
      <c r="R24" s="176"/>
      <c r="S24" s="177"/>
      <c r="T24" s="176"/>
      <c r="U24" s="176"/>
      <c r="V24" s="177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176"/>
      <c r="BA24" s="176"/>
      <c r="BB24" s="176"/>
      <c r="BC24" s="176"/>
      <c r="BD24" s="176"/>
      <c r="BE24" s="176"/>
      <c r="BF24" s="176"/>
      <c r="BG24" s="176"/>
      <c r="BH24" s="176"/>
      <c r="BI24" s="176"/>
      <c r="BJ24" s="176"/>
    </row>
    <row r="25" spans="1:63" s="179" customFormat="1" ht="15" customHeight="1" x14ac:dyDescent="0.35">
      <c r="A25" s="239" t="s">
        <v>475</v>
      </c>
      <c r="B25" s="240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7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76"/>
      <c r="BA25" s="176"/>
      <c r="BB25" s="176"/>
      <c r="BC25" s="176"/>
      <c r="BD25" s="176"/>
      <c r="BE25" s="176"/>
      <c r="BF25" s="176"/>
      <c r="BG25" s="176"/>
      <c r="BH25" s="176"/>
      <c r="BI25" s="176"/>
      <c r="BJ25" s="176"/>
    </row>
    <row r="26" spans="1:63" ht="14.25" x14ac:dyDescent="0.35">
      <c r="A26" s="239" t="s">
        <v>476</v>
      </c>
      <c r="B26" s="240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7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</row>
    <row r="27" spans="1:63" s="179" customFormat="1" ht="15" customHeight="1" x14ac:dyDescent="0.35">
      <c r="A27" s="241" t="s">
        <v>477</v>
      </c>
      <c r="B27" s="242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7"/>
      <c r="O27" s="176"/>
      <c r="P27" s="176"/>
      <c r="Q27" s="176"/>
      <c r="R27" s="176"/>
      <c r="S27" s="176"/>
      <c r="T27" s="177"/>
      <c r="U27" s="176"/>
      <c r="V27" s="176"/>
      <c r="W27" s="176"/>
      <c r="X27" s="176"/>
      <c r="Y27" s="176"/>
      <c r="Z27" s="177"/>
      <c r="AA27" s="176"/>
      <c r="AB27" s="176"/>
      <c r="AC27" s="176"/>
      <c r="AD27" s="176"/>
      <c r="AE27" s="176"/>
      <c r="AF27" s="177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/>
      <c r="BJ27" s="176"/>
    </row>
    <row r="28" spans="1:63" s="179" customFormat="1" ht="15" customHeight="1" x14ac:dyDescent="0.35">
      <c r="A28" s="239" t="s">
        <v>478</v>
      </c>
      <c r="B28" s="240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7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6"/>
      <c r="AR28" s="176"/>
      <c r="AS28" s="176"/>
      <c r="AT28" s="176"/>
      <c r="AU28" s="176"/>
      <c r="AV28" s="176"/>
      <c r="AW28" s="176"/>
      <c r="AX28" s="176"/>
      <c r="AY28" s="176"/>
      <c r="AZ28" s="176"/>
      <c r="BA28" s="176"/>
      <c r="BB28" s="176"/>
      <c r="BC28" s="176"/>
      <c r="BD28" s="176"/>
      <c r="BE28" s="176"/>
      <c r="BF28" s="176"/>
      <c r="BG28" s="176"/>
      <c r="BH28" s="176"/>
      <c r="BI28" s="176"/>
      <c r="BJ28" s="176"/>
    </row>
    <row r="29" spans="1:63" s="170" customFormat="1" ht="18" x14ac:dyDescent="0.45">
      <c r="A29" s="167">
        <v>2</v>
      </c>
      <c r="B29" s="168" t="s">
        <v>356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C29" s="169"/>
      <c r="BD29" s="169"/>
      <c r="BE29" s="169"/>
      <c r="BF29" s="169"/>
      <c r="BG29" s="169"/>
      <c r="BH29" s="169"/>
      <c r="BI29" s="169"/>
      <c r="BJ29" s="169"/>
      <c r="BK29" s="170" t="s">
        <v>357</v>
      </c>
    </row>
    <row r="30" spans="1:63" ht="14.25" x14ac:dyDescent="0.35">
      <c r="A30" s="251" t="s">
        <v>447</v>
      </c>
      <c r="B30" s="252"/>
      <c r="C30" s="252"/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2"/>
      <c r="AR30" s="252"/>
      <c r="AS30" s="252"/>
      <c r="AT30" s="252"/>
      <c r="AU30" s="252"/>
      <c r="AV30" s="252"/>
      <c r="AW30" s="252"/>
      <c r="AX30" s="252"/>
      <c r="AY30" s="252"/>
      <c r="AZ30" s="252"/>
      <c r="BA30" s="252"/>
      <c r="BB30" s="252"/>
      <c r="BC30" s="252"/>
      <c r="BD30" s="252"/>
      <c r="BE30" s="252"/>
      <c r="BF30" s="252"/>
      <c r="BG30" s="252"/>
      <c r="BH30" s="252"/>
      <c r="BI30" s="252"/>
      <c r="BJ30" s="253"/>
    </row>
    <row r="31" spans="1:63" ht="14.25" x14ac:dyDescent="0.35">
      <c r="A31" s="180" t="s">
        <v>343</v>
      </c>
      <c r="B31" s="172" t="s">
        <v>359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173"/>
      <c r="AU31" s="173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73"/>
      <c r="BG31" s="173"/>
      <c r="BH31" s="173"/>
      <c r="BI31" s="173"/>
      <c r="BJ31" s="173"/>
    </row>
    <row r="32" spans="1:63" ht="14.25" x14ac:dyDescent="0.35">
      <c r="A32" s="180" t="s">
        <v>345</v>
      </c>
      <c r="B32" s="172" t="s">
        <v>361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5"/>
      <c r="BB32" s="175"/>
      <c r="BC32" s="175"/>
      <c r="BD32" s="175"/>
      <c r="BE32" s="175"/>
      <c r="BF32" s="175"/>
      <c r="BG32" s="175"/>
      <c r="BH32" s="175"/>
      <c r="BI32" s="175"/>
      <c r="BJ32" s="175"/>
    </row>
    <row r="33" spans="1:64" ht="14.25" x14ac:dyDescent="0.35">
      <c r="A33" s="239" t="s">
        <v>448</v>
      </c>
      <c r="B33" s="240"/>
      <c r="C33" s="176"/>
      <c r="D33" s="176"/>
      <c r="E33" s="176"/>
      <c r="F33" s="176"/>
      <c r="G33" s="176"/>
      <c r="H33" s="177"/>
      <c r="I33" s="176"/>
      <c r="J33" s="176"/>
      <c r="K33" s="176"/>
      <c r="L33" s="176"/>
      <c r="M33" s="176"/>
      <c r="N33" s="177"/>
      <c r="O33" s="176"/>
      <c r="P33" s="176"/>
      <c r="Q33" s="176"/>
      <c r="R33" s="176"/>
      <c r="S33" s="176"/>
      <c r="T33" s="177"/>
      <c r="U33" s="176"/>
      <c r="V33" s="176"/>
      <c r="W33" s="176"/>
      <c r="X33" s="176"/>
      <c r="Y33" s="176"/>
      <c r="Z33" s="177"/>
      <c r="AA33" s="176"/>
      <c r="AB33" s="176" t="s">
        <v>362</v>
      </c>
      <c r="AC33" s="176"/>
      <c r="AD33" s="176"/>
      <c r="AE33" s="176"/>
      <c r="AF33" s="177"/>
      <c r="AG33" s="176"/>
      <c r="AH33" s="176"/>
      <c r="AI33" s="176"/>
      <c r="AJ33" s="176"/>
      <c r="AK33" s="176"/>
      <c r="AL33" s="177"/>
      <c r="AM33" s="176"/>
      <c r="AN33" s="176"/>
      <c r="AO33" s="176"/>
      <c r="AP33" s="176"/>
      <c r="AQ33" s="176"/>
      <c r="AR33" s="177"/>
      <c r="AS33" s="176"/>
      <c r="AT33" s="176"/>
      <c r="AU33" s="176"/>
      <c r="AV33" s="176"/>
      <c r="AW33" s="176"/>
      <c r="AX33" s="177"/>
      <c r="AY33" s="176"/>
      <c r="AZ33" s="176"/>
      <c r="BA33" s="176"/>
      <c r="BB33" s="176"/>
      <c r="BC33" s="176"/>
      <c r="BD33" s="177"/>
      <c r="BE33" s="176"/>
      <c r="BF33" s="176"/>
      <c r="BG33" s="176"/>
      <c r="BH33" s="176"/>
      <c r="BI33" s="176"/>
      <c r="BJ33" s="177"/>
      <c r="BK33" s="49" t="s">
        <v>363</v>
      </c>
      <c r="BL33" s="49" t="s">
        <v>364</v>
      </c>
    </row>
    <row r="34" spans="1:64" ht="14.25" x14ac:dyDescent="0.35">
      <c r="A34" s="243" t="s">
        <v>449</v>
      </c>
      <c r="B34" s="243"/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3"/>
      <c r="BA34" s="243"/>
      <c r="BB34" s="243"/>
      <c r="BC34" s="243"/>
      <c r="BD34" s="243"/>
      <c r="BE34" s="243"/>
      <c r="BF34" s="243"/>
      <c r="BG34" s="243"/>
      <c r="BH34" s="243"/>
      <c r="BI34" s="243"/>
      <c r="BJ34" s="243"/>
    </row>
    <row r="35" spans="1:64" ht="14.25" x14ac:dyDescent="0.35">
      <c r="A35" s="171" t="s">
        <v>450</v>
      </c>
      <c r="B35" s="178" t="s">
        <v>366</v>
      </c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3"/>
    </row>
    <row r="36" spans="1:64" ht="14.25" x14ac:dyDescent="0.35">
      <c r="A36" s="171" t="s">
        <v>451</v>
      </c>
      <c r="B36" s="178" t="s">
        <v>368</v>
      </c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3"/>
      <c r="Z36" s="173"/>
      <c r="AA36" s="173"/>
      <c r="AB36" s="173"/>
      <c r="AC36" s="173"/>
      <c r="AD36" s="173"/>
      <c r="AE36" s="173"/>
      <c r="AF36" s="173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4"/>
      <c r="BB36" s="174"/>
      <c r="BC36" s="174"/>
      <c r="BD36" s="174"/>
      <c r="BE36" s="174"/>
      <c r="BF36" s="174"/>
      <c r="BG36" s="174"/>
      <c r="BH36" s="174"/>
      <c r="BI36" s="174"/>
      <c r="BJ36" s="174"/>
    </row>
    <row r="37" spans="1:64" ht="14.25" x14ac:dyDescent="0.35">
      <c r="A37" s="171" t="s">
        <v>452</v>
      </c>
      <c r="B37" s="178" t="s">
        <v>370</v>
      </c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3"/>
      <c r="AH37" s="173"/>
      <c r="AI37" s="173"/>
      <c r="AJ37" s="173"/>
      <c r="AK37" s="173"/>
      <c r="AL37" s="173"/>
      <c r="AM37" s="173"/>
      <c r="AN37" s="173"/>
      <c r="AO37" s="173"/>
      <c r="AP37" s="173"/>
      <c r="AQ37" s="173"/>
      <c r="AR37" s="173"/>
      <c r="AS37" s="173"/>
      <c r="AT37" s="173"/>
      <c r="AU37" s="173"/>
      <c r="AV37" s="173"/>
      <c r="AW37" s="173"/>
      <c r="AX37" s="173"/>
      <c r="AY37" s="173"/>
      <c r="AZ37" s="173"/>
      <c r="BA37" s="173"/>
      <c r="BB37" s="173"/>
      <c r="BC37" s="173"/>
      <c r="BD37" s="173"/>
      <c r="BE37" s="173"/>
      <c r="BF37" s="173"/>
      <c r="BG37" s="173"/>
      <c r="BH37" s="173"/>
      <c r="BI37" s="173"/>
      <c r="BJ37" s="173"/>
    </row>
    <row r="38" spans="1:64" ht="14.75" customHeight="1" x14ac:dyDescent="0.35">
      <c r="A38" s="171" t="s">
        <v>453</v>
      </c>
      <c r="B38" s="178" t="s">
        <v>355</v>
      </c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174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  <c r="AU38" s="175"/>
      <c r="AV38" s="175"/>
      <c r="AW38" s="175"/>
      <c r="AX38" s="175"/>
      <c r="AY38" s="175"/>
      <c r="AZ38" s="175"/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</row>
    <row r="39" spans="1:64" s="179" customFormat="1" ht="15" customHeight="1" x14ac:dyDescent="0.35">
      <c r="A39" s="239" t="s">
        <v>454</v>
      </c>
      <c r="B39" s="240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7"/>
      <c r="AG39" s="176"/>
      <c r="AH39" s="176"/>
      <c r="AI39" s="176"/>
      <c r="AJ39" s="176"/>
      <c r="AK39" s="176"/>
      <c r="AL39" s="176"/>
      <c r="AM39" s="176"/>
      <c r="AN39" s="176"/>
      <c r="AO39" s="176"/>
      <c r="AP39" s="176"/>
      <c r="AQ39" s="176"/>
      <c r="AR39" s="176"/>
      <c r="AS39" s="176"/>
      <c r="AT39" s="177"/>
      <c r="AU39" s="176"/>
      <c r="AV39" s="176"/>
      <c r="AW39" s="176"/>
      <c r="AX39" s="176"/>
      <c r="AY39" s="176"/>
      <c r="AZ39" s="176"/>
      <c r="BA39" s="176"/>
      <c r="BB39" s="176"/>
      <c r="BC39" s="176"/>
      <c r="BD39" s="176"/>
      <c r="BE39" s="176"/>
      <c r="BF39" s="176"/>
      <c r="BG39" s="176"/>
      <c r="BH39" s="176"/>
      <c r="BI39" s="176"/>
      <c r="BJ39" s="176"/>
    </row>
    <row r="40" spans="1:64" s="179" customFormat="1" ht="15" customHeight="1" x14ac:dyDescent="0.35">
      <c r="A40" s="239" t="s">
        <v>455</v>
      </c>
      <c r="B40" s="240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7"/>
      <c r="AA40" s="176"/>
      <c r="AB40" s="176"/>
      <c r="AC40" s="176"/>
      <c r="AD40" s="176"/>
      <c r="AE40" s="176"/>
      <c r="AF40" s="176"/>
      <c r="AG40" s="176"/>
      <c r="AH40" s="176"/>
      <c r="AI40" s="176"/>
      <c r="AJ40" s="176"/>
      <c r="AK40" s="176"/>
      <c r="AL40" s="177"/>
      <c r="AM40" s="176"/>
      <c r="AN40" s="176"/>
      <c r="AO40" s="176"/>
      <c r="AP40" s="176"/>
      <c r="AQ40" s="176"/>
      <c r="AR40" s="176"/>
      <c r="AS40" s="176"/>
      <c r="AT40" s="176"/>
      <c r="AU40" s="176"/>
      <c r="AV40" s="176"/>
      <c r="AW40" s="176"/>
      <c r="AX40" s="177"/>
      <c r="AY40" s="176"/>
      <c r="AZ40" s="176"/>
      <c r="BA40" s="176"/>
      <c r="BB40" s="176"/>
      <c r="BC40" s="176"/>
      <c r="BD40" s="176"/>
      <c r="BE40" s="176"/>
      <c r="BF40" s="176"/>
      <c r="BG40" s="176"/>
      <c r="BH40" s="176"/>
      <c r="BI40" s="176"/>
      <c r="BJ40" s="177"/>
    </row>
    <row r="41" spans="1:64" s="179" customFormat="1" ht="15" customHeight="1" x14ac:dyDescent="0.35">
      <c r="A41" s="241" t="s">
        <v>456</v>
      </c>
      <c r="B41" s="242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7"/>
      <c r="AS41" s="176"/>
      <c r="AT41" s="176"/>
      <c r="AU41" s="176"/>
      <c r="AV41" s="176"/>
      <c r="AW41" s="176"/>
      <c r="AX41" s="176"/>
      <c r="AY41" s="176"/>
      <c r="AZ41" s="176"/>
      <c r="BA41" s="177"/>
      <c r="BB41" s="176"/>
      <c r="BC41" s="176"/>
      <c r="BD41" s="176"/>
      <c r="BE41" s="176"/>
      <c r="BF41" s="176"/>
      <c r="BG41" s="176"/>
      <c r="BH41" s="176"/>
      <c r="BI41" s="176"/>
      <c r="BJ41" s="177"/>
    </row>
    <row r="42" spans="1:64" s="179" customFormat="1" ht="15" customHeight="1" x14ac:dyDescent="0.35">
      <c r="A42" s="239" t="s">
        <v>457</v>
      </c>
      <c r="B42" s="240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/>
      <c r="AY42" s="176"/>
      <c r="AZ42" s="176"/>
      <c r="BA42" s="176"/>
      <c r="BB42" s="176"/>
      <c r="BC42" s="176"/>
      <c r="BD42" s="176"/>
      <c r="BE42" s="176"/>
      <c r="BF42" s="176"/>
      <c r="BG42" s="176"/>
      <c r="BH42" s="176"/>
      <c r="BI42" s="176"/>
      <c r="BJ42" s="177"/>
    </row>
    <row r="43" spans="1:64" ht="24" customHeight="1" x14ac:dyDescent="0.35">
      <c r="A43" s="167">
        <v>3</v>
      </c>
      <c r="B43" s="168" t="s">
        <v>372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</row>
    <row r="44" spans="1:64" ht="14.25" x14ac:dyDescent="0.35">
      <c r="A44" s="248" t="s">
        <v>479</v>
      </c>
      <c r="B44" s="249"/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49"/>
      <c r="BE44" s="249"/>
      <c r="BF44" s="249"/>
      <c r="BG44" s="249"/>
      <c r="BH44" s="249"/>
      <c r="BI44" s="249"/>
      <c r="BJ44" s="250"/>
    </row>
    <row r="45" spans="1:64" customFormat="1" ht="14.25" x14ac:dyDescent="0.45">
      <c r="A45" s="214" t="s">
        <v>358</v>
      </c>
      <c r="B45" s="214" t="s">
        <v>373</v>
      </c>
      <c r="C45" s="214"/>
      <c r="D45" s="214"/>
      <c r="E45" s="214"/>
      <c r="F45" s="214"/>
      <c r="G45" s="214"/>
      <c r="H45" s="214"/>
      <c r="I45" s="214"/>
      <c r="K45" s="215"/>
      <c r="L45" s="215"/>
      <c r="M45" s="215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  <c r="AH45" s="216"/>
    </row>
    <row r="46" spans="1:64" customFormat="1" ht="14.25" x14ac:dyDescent="0.45">
      <c r="A46" s="214" t="s">
        <v>360</v>
      </c>
      <c r="B46" s="214" t="s">
        <v>374</v>
      </c>
      <c r="C46" s="214"/>
      <c r="D46" s="214"/>
      <c r="E46" s="214"/>
      <c r="F46" s="214"/>
      <c r="G46" s="214"/>
      <c r="H46" s="214"/>
      <c r="I46" s="214"/>
      <c r="K46" s="216"/>
      <c r="L46" s="215"/>
      <c r="M46" s="215"/>
      <c r="N46" s="215"/>
      <c r="O46" s="215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  <c r="AH46" s="216"/>
    </row>
    <row r="47" spans="1:64" customFormat="1" ht="14.25" x14ac:dyDescent="0.45">
      <c r="A47" s="214" t="s">
        <v>480</v>
      </c>
      <c r="B47" s="214" t="s">
        <v>375</v>
      </c>
      <c r="C47" s="214"/>
      <c r="D47" s="214"/>
      <c r="E47" s="214"/>
      <c r="F47" s="214"/>
      <c r="G47" s="214"/>
      <c r="H47" s="214"/>
      <c r="I47" s="214"/>
      <c r="K47" s="216"/>
      <c r="L47" s="215"/>
      <c r="M47" s="215"/>
      <c r="N47" s="215"/>
      <c r="O47" s="215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  <c r="AH47" s="216"/>
    </row>
    <row r="48" spans="1:64" customFormat="1" ht="14.25" x14ac:dyDescent="0.45">
      <c r="A48" s="214" t="s">
        <v>481</v>
      </c>
      <c r="B48" s="214" t="s">
        <v>376</v>
      </c>
      <c r="C48" s="214"/>
      <c r="D48" s="214"/>
      <c r="E48" s="214"/>
      <c r="F48" s="214"/>
      <c r="G48" s="214"/>
      <c r="H48" s="214"/>
      <c r="I48" s="214"/>
      <c r="K48" s="216"/>
      <c r="L48" s="216"/>
      <c r="M48" s="216"/>
      <c r="N48" s="215"/>
      <c r="O48" s="215"/>
      <c r="P48" s="215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</row>
    <row r="49" spans="1:62" customFormat="1" ht="14.25" x14ac:dyDescent="0.45">
      <c r="A49" s="214" t="s">
        <v>482</v>
      </c>
      <c r="B49" s="214" t="s">
        <v>377</v>
      </c>
      <c r="C49" s="214"/>
      <c r="D49" s="214"/>
      <c r="E49" s="214"/>
      <c r="F49" s="214"/>
      <c r="G49" s="214"/>
      <c r="H49" s="214"/>
      <c r="I49" s="214"/>
      <c r="K49" s="216"/>
      <c r="L49" s="216"/>
      <c r="M49" s="216"/>
      <c r="N49" s="216"/>
      <c r="O49" s="215"/>
      <c r="P49" s="215"/>
      <c r="Q49" s="215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</row>
    <row r="50" spans="1:62" customFormat="1" ht="14.25" x14ac:dyDescent="0.45">
      <c r="A50" s="214" t="s">
        <v>483</v>
      </c>
      <c r="B50" s="214" t="s">
        <v>378</v>
      </c>
      <c r="C50" s="214"/>
      <c r="D50" s="214"/>
      <c r="E50" s="214"/>
      <c r="F50" s="214"/>
      <c r="G50" s="214"/>
      <c r="H50" s="214"/>
      <c r="I50" s="214"/>
      <c r="K50" s="216"/>
      <c r="L50" s="216"/>
      <c r="M50" s="215"/>
      <c r="N50" s="215"/>
      <c r="O50" s="215"/>
      <c r="P50" s="215"/>
      <c r="Q50" s="215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  <c r="AH50" s="216"/>
    </row>
    <row r="51" spans="1:62" customFormat="1" ht="14.25" customHeight="1" x14ac:dyDescent="0.45">
      <c r="A51" s="239" t="s">
        <v>484</v>
      </c>
      <c r="B51" s="240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217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182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</row>
    <row r="52" spans="1:62" customFormat="1" ht="14.25" customHeight="1" x14ac:dyDescent="0.45">
      <c r="A52" s="239" t="s">
        <v>486</v>
      </c>
      <c r="B52" s="240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217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</row>
    <row r="53" spans="1:62" customFormat="1" ht="14.25" customHeight="1" x14ac:dyDescent="0.45">
      <c r="A53" s="239" t="s">
        <v>485</v>
      </c>
      <c r="B53" s="240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217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</row>
    <row r="54" spans="1:62" ht="24" customHeight="1" x14ac:dyDescent="0.35">
      <c r="A54" s="243" t="s">
        <v>487</v>
      </c>
      <c r="B54" s="243"/>
      <c r="C54" s="243"/>
      <c r="D54" s="243"/>
      <c r="E54" s="243"/>
      <c r="F54" s="243"/>
      <c r="G54" s="243"/>
      <c r="H54" s="243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Y54" s="243"/>
      <c r="Z54" s="243"/>
      <c r="AA54" s="243"/>
      <c r="AB54" s="243"/>
      <c r="AC54" s="243"/>
      <c r="AD54" s="243"/>
      <c r="AE54" s="243"/>
      <c r="AF54" s="243"/>
      <c r="AG54" s="243"/>
      <c r="AH54" s="243"/>
      <c r="AI54" s="243"/>
      <c r="AJ54" s="243"/>
      <c r="AK54" s="243"/>
      <c r="AL54" s="243"/>
      <c r="AM54" s="243"/>
      <c r="AN54" s="243"/>
      <c r="AO54" s="243"/>
      <c r="AP54" s="243"/>
      <c r="AQ54" s="243"/>
      <c r="AR54" s="243"/>
      <c r="AS54" s="243"/>
      <c r="AT54" s="243"/>
      <c r="AU54" s="243"/>
      <c r="AV54" s="243"/>
      <c r="AW54" s="243"/>
      <c r="AX54" s="243"/>
      <c r="AY54" s="243"/>
      <c r="AZ54" s="243"/>
      <c r="BA54" s="243"/>
      <c r="BB54" s="243"/>
      <c r="BC54" s="243"/>
      <c r="BD54" s="243"/>
      <c r="BE54" s="243"/>
      <c r="BF54" s="243"/>
      <c r="BG54" s="243"/>
      <c r="BH54" s="243"/>
      <c r="BI54" s="243"/>
      <c r="BJ54" s="243"/>
    </row>
    <row r="55" spans="1:62" customFormat="1" ht="14.25" x14ac:dyDescent="0.45">
      <c r="A55" s="214" t="s">
        <v>365</v>
      </c>
      <c r="B55" s="214" t="s">
        <v>379</v>
      </c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6"/>
      <c r="N55" s="216"/>
      <c r="O55" s="216"/>
      <c r="P55" s="216"/>
      <c r="Q55" s="216"/>
      <c r="R55" s="215"/>
      <c r="S55" s="215"/>
      <c r="T55" s="215"/>
      <c r="U55" s="215"/>
      <c r="V55" s="215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  <c r="AH55" s="216"/>
      <c r="AI55" s="216"/>
      <c r="AJ55" s="216"/>
    </row>
    <row r="56" spans="1:62" customFormat="1" ht="14.25" x14ac:dyDescent="0.45">
      <c r="A56" s="214" t="s">
        <v>367</v>
      </c>
      <c r="B56" s="214" t="s">
        <v>380</v>
      </c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6"/>
      <c r="N56" s="216"/>
      <c r="O56" s="216"/>
      <c r="P56" s="216"/>
      <c r="Q56" s="216"/>
      <c r="R56" s="216"/>
      <c r="S56" s="215"/>
      <c r="T56" s="215"/>
      <c r="U56" s="215"/>
      <c r="V56" s="215"/>
      <c r="W56" s="215"/>
      <c r="X56" s="215"/>
      <c r="Y56" s="216"/>
      <c r="Z56" s="216"/>
      <c r="AA56" s="216"/>
      <c r="AB56" s="216"/>
      <c r="AC56" s="216"/>
      <c r="AD56" s="216"/>
      <c r="AE56" s="216"/>
      <c r="AF56" s="216"/>
      <c r="AG56" s="216"/>
      <c r="AH56" s="216"/>
      <c r="AI56" s="216"/>
      <c r="AJ56" s="216"/>
    </row>
    <row r="57" spans="1:62" customFormat="1" ht="14.25" x14ac:dyDescent="0.45">
      <c r="A57" s="214" t="s">
        <v>369</v>
      </c>
      <c r="B57" s="214" t="s">
        <v>381</v>
      </c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6"/>
      <c r="N57" s="216"/>
      <c r="O57" s="216"/>
      <c r="P57" s="216"/>
      <c r="Q57" s="216"/>
      <c r="R57" s="216"/>
      <c r="S57" s="216"/>
      <c r="T57" s="215"/>
      <c r="U57" s="215"/>
      <c r="V57" s="215"/>
      <c r="W57" s="215"/>
      <c r="X57" s="215"/>
      <c r="Y57" s="215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</row>
    <row r="58" spans="1:62" customFormat="1" ht="14.25" x14ac:dyDescent="0.45">
      <c r="A58" s="214" t="s">
        <v>371</v>
      </c>
      <c r="B58" s="214" t="s">
        <v>382</v>
      </c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6"/>
      <c r="N58" s="216"/>
      <c r="O58" s="216"/>
      <c r="P58" s="216"/>
      <c r="Q58" s="216"/>
      <c r="R58" s="216"/>
      <c r="S58" s="216"/>
      <c r="T58" s="216"/>
      <c r="U58" s="215"/>
      <c r="V58" s="215"/>
      <c r="W58" s="215"/>
      <c r="X58" s="215"/>
      <c r="Y58" s="215"/>
      <c r="Z58" s="215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</row>
    <row r="59" spans="1:62" customFormat="1" ht="14.25" x14ac:dyDescent="0.45">
      <c r="A59" s="214" t="s">
        <v>488</v>
      </c>
      <c r="B59" s="214" t="s">
        <v>383</v>
      </c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6"/>
      <c r="N59" s="216"/>
      <c r="O59" s="216"/>
      <c r="P59" s="216"/>
      <c r="Q59" s="216"/>
      <c r="R59" s="216"/>
      <c r="S59" s="216"/>
      <c r="T59" s="216"/>
      <c r="U59" s="216"/>
      <c r="V59" s="215"/>
      <c r="W59" s="215"/>
      <c r="X59" s="215"/>
      <c r="Y59" s="215"/>
      <c r="Z59" s="215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</row>
    <row r="60" spans="1:62" customFormat="1" ht="14.25" x14ac:dyDescent="0.45">
      <c r="A60" s="214" t="s">
        <v>489</v>
      </c>
      <c r="B60" s="214" t="s">
        <v>384</v>
      </c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5"/>
      <c r="Y60" s="215"/>
      <c r="Z60" s="215"/>
      <c r="AA60" s="215"/>
      <c r="AB60" s="216"/>
      <c r="AC60" s="216"/>
      <c r="AD60" s="216"/>
      <c r="AE60" s="216"/>
      <c r="AF60" s="216"/>
      <c r="AG60" s="216"/>
      <c r="AH60" s="216"/>
      <c r="AI60" s="216"/>
      <c r="AJ60" s="216"/>
    </row>
    <row r="61" spans="1:62" customFormat="1" ht="14.25" x14ac:dyDescent="0.45">
      <c r="A61" s="239" t="s">
        <v>490</v>
      </c>
      <c r="B61" s="240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217"/>
      <c r="W61" s="182"/>
      <c r="X61" s="182"/>
      <c r="Y61" s="182"/>
      <c r="Z61" s="182"/>
      <c r="AA61" s="182"/>
      <c r="AB61" s="182"/>
      <c r="AC61" s="182"/>
      <c r="AD61" s="182"/>
      <c r="AE61" s="182"/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182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</row>
    <row r="62" spans="1:62" customFormat="1" ht="14.25" x14ac:dyDescent="0.45">
      <c r="A62" s="239" t="s">
        <v>491</v>
      </c>
      <c r="B62" s="240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217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</row>
    <row r="63" spans="1:62" customFormat="1" ht="14.25" x14ac:dyDescent="0.45">
      <c r="A63" s="239" t="s">
        <v>492</v>
      </c>
      <c r="B63" s="240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217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182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</row>
    <row r="64" spans="1:62" ht="24" customHeight="1" x14ac:dyDescent="0.35">
      <c r="A64" s="184" t="s">
        <v>493</v>
      </c>
      <c r="B64" s="219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  <c r="AO64" s="220"/>
      <c r="AP64" s="220"/>
      <c r="AQ64" s="220"/>
      <c r="AR64" s="220"/>
      <c r="AS64" s="220"/>
      <c r="AT64" s="220"/>
      <c r="AU64" s="220"/>
      <c r="AV64" s="220"/>
      <c r="AW64" s="220"/>
      <c r="AX64" s="220"/>
      <c r="AY64" s="220"/>
      <c r="AZ64" s="220"/>
      <c r="BA64" s="220"/>
      <c r="BB64" s="220"/>
      <c r="BC64" s="220"/>
      <c r="BD64" s="220"/>
      <c r="BE64" s="220"/>
      <c r="BF64" s="220"/>
      <c r="BG64" s="220"/>
      <c r="BH64" s="220"/>
      <c r="BI64" s="220"/>
      <c r="BJ64" s="221"/>
    </row>
    <row r="65" spans="1:62" customFormat="1" ht="14.25" x14ac:dyDescent="0.45">
      <c r="A65" s="214" t="s">
        <v>494</v>
      </c>
      <c r="B65" s="214" t="s">
        <v>385</v>
      </c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5"/>
      <c r="X65" s="215"/>
      <c r="Y65" s="215"/>
      <c r="Z65" s="215"/>
      <c r="AA65" s="215"/>
      <c r="AB65" s="215"/>
      <c r="AC65" s="216"/>
      <c r="AD65" s="216"/>
      <c r="AE65" s="216"/>
      <c r="AF65" s="216"/>
      <c r="AG65" s="216"/>
      <c r="AH65" s="216"/>
      <c r="AI65" s="216"/>
      <c r="AJ65" s="216"/>
    </row>
    <row r="66" spans="1:62" customFormat="1" ht="14.25" x14ac:dyDescent="0.45">
      <c r="A66" s="214" t="s">
        <v>495</v>
      </c>
      <c r="B66" s="214" t="s">
        <v>386</v>
      </c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5"/>
      <c r="Y66" s="215"/>
      <c r="Z66" s="215"/>
      <c r="AA66" s="215"/>
      <c r="AB66" s="215"/>
      <c r="AC66" s="215"/>
      <c r="AD66" s="215"/>
      <c r="AE66" s="216"/>
      <c r="AF66" s="216"/>
      <c r="AG66" s="216"/>
      <c r="AH66" s="216"/>
      <c r="AI66" s="216"/>
      <c r="AJ66" s="216"/>
    </row>
    <row r="67" spans="1:62" customFormat="1" ht="14.25" x14ac:dyDescent="0.45">
      <c r="A67" s="214" t="s">
        <v>496</v>
      </c>
      <c r="B67" s="214" t="s">
        <v>387</v>
      </c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5"/>
      <c r="AA67" s="215"/>
      <c r="AB67" s="215"/>
      <c r="AC67" s="215"/>
      <c r="AD67" s="215"/>
      <c r="AE67" s="215"/>
      <c r="AF67" s="216"/>
      <c r="AG67" s="216"/>
      <c r="AH67" s="216"/>
      <c r="AI67" s="216"/>
      <c r="AJ67" s="216"/>
    </row>
    <row r="68" spans="1:62" customFormat="1" ht="14.25" x14ac:dyDescent="0.45">
      <c r="A68" s="214" t="s">
        <v>497</v>
      </c>
      <c r="B68" s="214" t="s">
        <v>388</v>
      </c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5"/>
      <c r="AA68" s="215"/>
      <c r="AB68" s="215"/>
      <c r="AC68" s="215"/>
      <c r="AD68" s="215"/>
      <c r="AE68" s="215"/>
      <c r="AF68" s="216"/>
      <c r="AG68" s="216"/>
      <c r="AH68" s="216"/>
      <c r="AI68" s="216"/>
      <c r="AJ68" s="216"/>
    </row>
    <row r="69" spans="1:62" customFormat="1" ht="14.25" x14ac:dyDescent="0.45">
      <c r="A69" s="214" t="s">
        <v>498</v>
      </c>
      <c r="B69" s="214" t="s">
        <v>389</v>
      </c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5"/>
      <c r="AB69" s="215"/>
      <c r="AC69" s="215"/>
      <c r="AD69" s="215"/>
      <c r="AE69" s="215"/>
      <c r="AF69" s="215"/>
      <c r="AG69" s="216"/>
      <c r="AH69" s="216"/>
      <c r="AI69" s="216"/>
      <c r="AJ69" s="216"/>
    </row>
    <row r="70" spans="1:62" customFormat="1" ht="14.25" x14ac:dyDescent="0.45">
      <c r="A70" s="214" t="s">
        <v>499</v>
      </c>
      <c r="B70" s="214" t="s">
        <v>390</v>
      </c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5"/>
      <c r="AD70" s="215"/>
      <c r="AE70" s="215"/>
      <c r="AF70" s="215"/>
      <c r="AG70" s="216"/>
      <c r="AH70" s="216"/>
      <c r="AI70" s="216"/>
      <c r="AJ70" s="216"/>
    </row>
    <row r="71" spans="1:62" customFormat="1" ht="14.25" x14ac:dyDescent="0.45">
      <c r="A71" s="239" t="s">
        <v>500</v>
      </c>
      <c r="B71" s="240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2"/>
      <c r="AB71" s="217"/>
      <c r="AC71" s="182"/>
      <c r="AD71" s="182"/>
      <c r="AE71" s="182"/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182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</row>
    <row r="72" spans="1:62" customFormat="1" ht="14.25" x14ac:dyDescent="0.45">
      <c r="A72" s="239" t="s">
        <v>501</v>
      </c>
      <c r="B72" s="240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82"/>
      <c r="AE72" s="217"/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182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</row>
    <row r="73" spans="1:62" customFormat="1" ht="14.25" x14ac:dyDescent="0.45">
      <c r="A73" s="239" t="s">
        <v>502</v>
      </c>
      <c r="B73" s="240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217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182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</row>
    <row r="74" spans="1:62" ht="24" customHeight="1" x14ac:dyDescent="0.35">
      <c r="A74" s="218" t="s">
        <v>503</v>
      </c>
      <c r="B74" s="219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  <c r="AM74" s="220"/>
      <c r="AN74" s="220"/>
      <c r="AO74" s="220"/>
      <c r="AP74" s="220"/>
      <c r="AQ74" s="220"/>
      <c r="AR74" s="220"/>
      <c r="AS74" s="220"/>
      <c r="AT74" s="220"/>
      <c r="AU74" s="220"/>
      <c r="AV74" s="220"/>
      <c r="AW74" s="220"/>
      <c r="AX74" s="220"/>
      <c r="AY74" s="220"/>
      <c r="AZ74" s="220"/>
      <c r="BA74" s="220"/>
      <c r="BB74" s="220"/>
      <c r="BC74" s="220"/>
      <c r="BD74" s="220"/>
      <c r="BE74" s="220"/>
      <c r="BF74" s="220"/>
      <c r="BG74" s="220"/>
      <c r="BH74" s="220"/>
      <c r="BI74" s="220"/>
      <c r="BJ74" s="221"/>
    </row>
    <row r="75" spans="1:62" customFormat="1" ht="14.25" x14ac:dyDescent="0.45">
      <c r="A75" s="214" t="s">
        <v>504</v>
      </c>
      <c r="B75" s="214" t="s">
        <v>391</v>
      </c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5"/>
      <c r="AE75" s="215"/>
      <c r="AF75" s="215"/>
      <c r="AG75" s="215"/>
      <c r="AH75" s="216"/>
      <c r="AI75" s="216"/>
      <c r="AJ75" s="216"/>
    </row>
    <row r="76" spans="1:62" customFormat="1" ht="14.25" x14ac:dyDescent="0.45">
      <c r="A76" s="214" t="s">
        <v>505</v>
      </c>
      <c r="B76" s="214" t="s">
        <v>392</v>
      </c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5"/>
      <c r="AF76" s="215"/>
      <c r="AG76" s="215"/>
      <c r="AH76" s="215"/>
      <c r="AI76" s="216"/>
      <c r="AJ76" s="216"/>
    </row>
    <row r="77" spans="1:62" customFormat="1" ht="14.25" x14ac:dyDescent="0.45">
      <c r="A77" s="214" t="s">
        <v>506</v>
      </c>
      <c r="B77" s="214" t="s">
        <v>393</v>
      </c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5"/>
      <c r="AH77" s="215"/>
      <c r="AI77" s="215"/>
      <c r="AJ77" s="216"/>
    </row>
    <row r="78" spans="1:62" customFormat="1" ht="14.25" x14ac:dyDescent="0.45">
      <c r="A78" s="214" t="s">
        <v>507</v>
      </c>
      <c r="B78" s="214" t="s">
        <v>394</v>
      </c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5"/>
      <c r="AH78" s="215"/>
      <c r="AI78" s="215"/>
      <c r="AJ78" s="216"/>
    </row>
    <row r="79" spans="1:62" customFormat="1" ht="14.25" x14ac:dyDescent="0.45">
      <c r="A79" s="214" t="s">
        <v>508</v>
      </c>
      <c r="B79" s="214" t="s">
        <v>395</v>
      </c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  <c r="AH79" s="215"/>
      <c r="AI79" s="215"/>
      <c r="AJ79" s="215"/>
    </row>
    <row r="80" spans="1:62" customFormat="1" ht="14.25" x14ac:dyDescent="0.45">
      <c r="A80" s="239" t="s">
        <v>509</v>
      </c>
      <c r="B80" s="240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2"/>
      <c r="AB80" s="182"/>
      <c r="AC80" s="182"/>
      <c r="AD80" s="182"/>
      <c r="AE80" s="182"/>
      <c r="AF80" s="182"/>
      <c r="AG80" s="217"/>
      <c r="AH80" s="182"/>
      <c r="AI80" s="182"/>
      <c r="AJ80" s="182"/>
      <c r="AK80" s="182"/>
      <c r="AL80" s="182"/>
      <c r="AM80" s="182"/>
      <c r="AN80" s="182"/>
      <c r="AO80" s="182"/>
      <c r="AP80" s="182"/>
      <c r="AQ80" s="182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</row>
    <row r="81" spans="1:62" customFormat="1" ht="14.25" x14ac:dyDescent="0.45">
      <c r="A81" s="239" t="s">
        <v>510</v>
      </c>
      <c r="B81" s="240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82"/>
      <c r="AE81" s="182"/>
      <c r="AF81" s="182"/>
      <c r="AG81" s="182"/>
      <c r="AH81" s="182"/>
      <c r="AI81" s="217"/>
      <c r="AJ81" s="182"/>
      <c r="AK81" s="182"/>
      <c r="AL81" s="182"/>
      <c r="AM81" s="182"/>
      <c r="AN81" s="182"/>
      <c r="AO81" s="182"/>
      <c r="AP81" s="182"/>
      <c r="AQ81" s="182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</row>
    <row r="82" spans="1:62" customFormat="1" ht="14.25" x14ac:dyDescent="0.45">
      <c r="A82" s="239" t="s">
        <v>511</v>
      </c>
      <c r="B82" s="240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82"/>
      <c r="AB82" s="182"/>
      <c r="AC82" s="182"/>
      <c r="AD82" s="182"/>
      <c r="AE82" s="182"/>
      <c r="AF82" s="182"/>
      <c r="AG82" s="182"/>
      <c r="AH82" s="182"/>
      <c r="AI82" s="182"/>
      <c r="AJ82" s="217"/>
      <c r="AK82" s="182"/>
      <c r="AL82" s="182"/>
      <c r="AM82" s="182"/>
      <c r="AN82" s="182"/>
      <c r="AO82" s="182"/>
      <c r="AP82" s="182"/>
      <c r="AQ82" s="182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</row>
    <row r="83" spans="1:62" s="181" customFormat="1" ht="12.75" x14ac:dyDescent="0.35">
      <c r="F83" s="181">
        <v>1</v>
      </c>
      <c r="J83" s="181">
        <v>2</v>
      </c>
      <c r="N83" s="181">
        <v>3</v>
      </c>
      <c r="R83" s="181">
        <v>4</v>
      </c>
      <c r="V83" s="181">
        <v>5</v>
      </c>
      <c r="Z83" s="181">
        <v>6</v>
      </c>
      <c r="AD83" s="181">
        <v>7</v>
      </c>
      <c r="AH83" s="181">
        <v>8</v>
      </c>
      <c r="AL83" s="181">
        <v>9</v>
      </c>
      <c r="AP83" s="181">
        <v>10</v>
      </c>
      <c r="AT83" s="181">
        <v>11</v>
      </c>
      <c r="AX83" s="181">
        <v>12</v>
      </c>
      <c r="BB83" s="181">
        <v>13</v>
      </c>
      <c r="BF83" s="181">
        <v>14</v>
      </c>
      <c r="BJ83" s="181">
        <v>15</v>
      </c>
    </row>
  </sheetData>
  <mergeCells count="39">
    <mergeCell ref="S1:AD1"/>
    <mergeCell ref="AE1:AP1"/>
    <mergeCell ref="AQ1:BB1"/>
    <mergeCell ref="BC1:BJ1"/>
    <mergeCell ref="A82:B82"/>
    <mergeCell ref="A63:B63"/>
    <mergeCell ref="A51:B51"/>
    <mergeCell ref="A52:B52"/>
    <mergeCell ref="A53:B53"/>
    <mergeCell ref="A54:BJ54"/>
    <mergeCell ref="A73:B73"/>
    <mergeCell ref="A80:B80"/>
    <mergeCell ref="A81:B81"/>
    <mergeCell ref="A61:B61"/>
    <mergeCell ref="A62:B62"/>
    <mergeCell ref="A71:B71"/>
    <mergeCell ref="A72:B72"/>
    <mergeCell ref="A1:B2"/>
    <mergeCell ref="A23:B23"/>
    <mergeCell ref="A24:B24"/>
    <mergeCell ref="A25:B25"/>
    <mergeCell ref="A44:BJ44"/>
    <mergeCell ref="A4:BJ4"/>
    <mergeCell ref="A7:B7"/>
    <mergeCell ref="A26:B26"/>
    <mergeCell ref="A27:B27"/>
    <mergeCell ref="A42:B42"/>
    <mergeCell ref="A30:BJ30"/>
    <mergeCell ref="A33:B33"/>
    <mergeCell ref="A34:BJ34"/>
    <mergeCell ref="A39:B39"/>
    <mergeCell ref="C1:F1"/>
    <mergeCell ref="G1:R1"/>
    <mergeCell ref="A40:B40"/>
    <mergeCell ref="A41:B41"/>
    <mergeCell ref="A28:B28"/>
    <mergeCell ref="A8:BJ8"/>
    <mergeCell ref="A21:B21"/>
    <mergeCell ref="A22:B22"/>
  </mergeCells>
  <pageMargins left="0.511811024" right="0.511811024" top="0.78740157499999996" bottom="0.78740157499999996" header="0.31496062000000002" footer="0.31496062000000002"/>
  <pageSetup paperSize="9" fitToWidth="0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Tabela DNIT Janeiro_2026</vt:lpstr>
      <vt:lpstr>Orçamento-Ação1</vt:lpstr>
      <vt:lpstr>Orçamento-Ação2</vt:lpstr>
      <vt:lpstr>Orçamento Ação 3</vt:lpstr>
      <vt:lpstr>Consolidado</vt:lpstr>
      <vt:lpstr>Cronograma</vt:lpstr>
      <vt:lpstr>'Orçamento-Ação1'!Area_de_impressao</vt:lpstr>
      <vt:lpstr>'Orçamento-Ação2'!Area_de_impressao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Zanela Tani</dc:creator>
  <cp:lastModifiedBy>Valter Zanela Tani</cp:lastModifiedBy>
  <cp:lastPrinted>2026-08-16T19:20:19Z</cp:lastPrinted>
  <dcterms:created xsi:type="dcterms:W3CDTF">2026-08-16T18:17:21Z</dcterms:created>
  <dcterms:modified xsi:type="dcterms:W3CDTF">2026-08-17T00:46:26Z</dcterms:modified>
</cp:coreProperties>
</file>